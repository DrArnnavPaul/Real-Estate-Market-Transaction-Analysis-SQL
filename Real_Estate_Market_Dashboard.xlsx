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cuments\sql ecommerce project\project sub\"/>
    </mc:Choice>
  </mc:AlternateContent>
  <xr:revisionPtr revIDLastSave="0" documentId="13_ncr:1_{4851810D-4B9D-4EE5-8CC3-61ADE90FB3C5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Insights" sheetId="1" r:id="rId1"/>
    <sheet name="calculations" sheetId="4" r:id="rId2"/>
    <sheet name="Dashboard" sheetId="2" r:id="rId3"/>
    <sheet name="Raw_Data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6" i="2" l="1"/>
  <c r="B6" i="2"/>
  <c r="H6" i="2"/>
  <c r="E6" i="2"/>
</calcChain>
</file>

<file path=xl/sharedStrings.xml><?xml version="1.0" encoding="utf-8"?>
<sst xmlns="http://schemas.openxmlformats.org/spreadsheetml/2006/main" count="172" uniqueCount="88">
  <si>
    <t>REAL ESTATE MARKET ANALYSIS — INSIGHTS &amp; RECOMMENDATIONS</t>
  </si>
  <si>
    <t>1.  PRICING TRENDS</t>
  </si>
  <si>
    <r>
      <rPr>
        <b/>
        <sz val="13"/>
        <color rgb="FFFFFFFF"/>
        <rFont val="Arial"/>
        <family val="2"/>
      </rPr>
      <t xml:space="preserve">Business Insight
</t>
    </r>
    <r>
      <rPr>
        <sz val="10.5"/>
        <color rgb="FFFFFFFF"/>
        <rFont val="Arial"/>
        <family val="2"/>
      </rPr>
      <t xml:space="preserve">
•  This is a two-speed market — San Francisco is compounding real, demand-backed gains
•  The other five cities show volatility patterns more than genuine trend</t>
    </r>
  </si>
  <si>
    <r>
      <rPr>
        <b/>
        <sz val="13"/>
        <color rgb="FFFFFFFF"/>
        <rFont val="Arial"/>
        <family val="2"/>
      </rPr>
      <t xml:space="preserve">Recommendation
</t>
    </r>
    <r>
      <rPr>
        <sz val="10.5"/>
        <color rgb="FFFFFFFF"/>
        <rFont val="Arial"/>
        <family val="2"/>
      </rPr>
      <t xml:space="preserve">
•  Prioritize San Francisco for growth-focused strategy
•  Treat LA / Chicago / Seattle pricing as noisy — validate before forecasting
•  Price by city and timing, not property type</t>
    </r>
  </si>
  <si>
    <t>2.  HOUSING DEMAND &amp; AFFORDABILITY</t>
  </si>
  <si>
    <r>
      <rPr>
        <b/>
        <sz val="13"/>
        <color rgb="FFFFFFFF"/>
        <rFont val="Arial"/>
        <family val="2"/>
      </rPr>
      <t xml:space="preserve">Business Insight
</t>
    </r>
    <r>
      <rPr>
        <sz val="10.5"/>
        <color rgb="FFFFFFFF"/>
        <rFont val="Arial"/>
        <family val="2"/>
      </rPr>
      <t xml:space="preserve">
•  Demand and price move together in San Francisco — a real, trustworthy signal
•  The affordability crisis spans every income level, not just lower earners</t>
    </r>
  </si>
  <si>
    <r>
      <rPr>
        <b/>
        <sz val="13"/>
        <color rgb="FFFFFFFF"/>
        <rFont val="Arial"/>
        <family val="2"/>
      </rPr>
      <t xml:space="preserve">Recommendation
</t>
    </r>
    <r>
      <rPr>
        <sz val="10.5"/>
        <color rgb="FFFFFFFF"/>
        <rFont val="Arial"/>
        <family val="2"/>
      </rPr>
      <t xml:space="preserve">
•  Use the demand index as a leading indicator in SF-like markets
•  Validate the New York figure before using it externally
•  Broaden affordability messaging beyond low-income brackets</t>
    </r>
  </si>
  <si>
    <t>3.  HOUSING SUPPLY &amp; CONSTRUCTION</t>
  </si>
  <si>
    <r>
      <rPr>
        <b/>
        <sz val="13"/>
        <color rgb="FFFFFFFF"/>
        <rFont val="Arial"/>
        <family val="2"/>
      </rPr>
      <t xml:space="preserve">Business Insight
</t>
    </r>
    <r>
      <rPr>
        <sz val="10.5"/>
        <color rgb="FFFFFFFF"/>
        <rFont val="Arial"/>
        <family val="2"/>
      </rPr>
      <t xml:space="preserve">
•  Supply has structurally contracted since 2020 and hasn’t recovered
•  This pullback likely contributes to the affordability pressure seen in Section 2</t>
    </r>
  </si>
  <si>
    <r>
      <rPr>
        <b/>
        <sz val="13"/>
        <color rgb="FFFFFFFF"/>
        <rFont val="Arial"/>
        <family val="2"/>
      </rPr>
      <t xml:space="preserve">Recommendation
</t>
    </r>
    <r>
      <rPr>
        <sz val="10.5"/>
        <color rgb="FFFFFFFF"/>
        <rFont val="Arial"/>
        <family val="2"/>
      </rPr>
      <t xml:space="preserve">
•  Investigate the cause of the 2021+ construction pullback (permits, cost, or demand)
•  This is the single highest-leverage lever for improving affordability
•  Don’t assume "build more" alone stabilizes price — pair with demand analysis</t>
    </r>
  </si>
  <si>
    <t>4.  INVESTOR BEHAVIOR</t>
  </si>
  <si>
    <r>
      <rPr>
        <b/>
        <sz val="13"/>
        <color rgb="FFFFFFFF"/>
        <rFont val="Arial"/>
        <family val="2"/>
      </rPr>
      <t xml:space="preserve">Business Insight
</t>
    </r>
    <r>
      <rPr>
        <sz val="10.5"/>
        <color rgb="FFFFFFFF"/>
        <rFont val="Arial"/>
        <family val="2"/>
      </rPr>
      <t xml:space="preserve">
•  Investor risk is not uniform — activity level alone doesn’t indicate reliability
•  The 2021+ cooling trend tracks the same timing as the construction slowdown</t>
    </r>
  </si>
  <si>
    <r>
      <rPr>
        <b/>
        <sz val="13"/>
        <color rgb="FFFFFFFF"/>
        <rFont val="Arial"/>
        <family val="2"/>
      </rPr>
      <t xml:space="preserve">Recommendation
</t>
    </r>
    <r>
      <rPr>
        <sz val="10.5"/>
        <color rgb="FFFFFFFF"/>
        <rFont val="Arial"/>
        <family val="2"/>
      </rPr>
      <t xml:space="preserve">
•  Use Chicago as the benchmark market for investor-facing products
•  Deprioritize New York for investor strategy until its volatility is explained
•  Monitor 2024 data to confirm the cooling trend continues</t>
    </r>
  </si>
  <si>
    <t>5.  INTEREST RATE SENSITIVITY</t>
  </si>
  <si>
    <r>
      <rPr>
        <b/>
        <sz val="13"/>
        <color rgb="FFFFFFFF"/>
        <rFont val="Arial"/>
        <family val="2"/>
      </rPr>
      <t xml:space="preserve">Key Finding &amp; Conclusion
</t>
    </r>
    <r>
      <rPr>
        <b/>
        <sz val="10.5"/>
        <color rgb="FFFFFFFF"/>
        <rFont val="Arial"/>
        <family val="2"/>
      </rPr>
      <t xml:space="preserve">
•  5–7% rate band shows a HIGHER avg price ($704,479) than the 3–5% band ($630,724)
</t>
    </r>
    <r>
      <rPr>
        <sz val="10.5"/>
        <color rgb="FFFFFFFF"/>
        <rFont val="Arial"/>
        <family val="2"/>
      </rPr>
      <t xml:space="preserve">•  This runs counter to typical market expectation (higher rates usually cool prices)
•  Only 120 total records span 2 rate bands — too thin a sample for a causal read
</t>
    </r>
    <r>
      <rPr>
        <b/>
        <sz val="10.5"/>
        <color rgb="FFFFFFFF"/>
        <rFont val="Arial"/>
        <family val="2"/>
      </rPr>
      <t xml:space="preserve">•  Conclusion: likely a sample-size artifact, not a genuine rate-price relationship
</t>
    </r>
    <r>
      <rPr>
        <sz val="10.5"/>
        <color rgb="FFFFFFFF"/>
        <rFont val="Arial"/>
        <family val="2"/>
      </rPr>
      <t>•  Do not cite this in external reporting — flag for re-analysis with a fuller rate history</t>
    </r>
  </si>
  <si>
    <t>OVERALL CONCLUSION</t>
  </si>
  <si>
    <t>This dataset tells a two-speed, supply-constrained story. San Francisco is the only city with genuine, demand-backed price growth; every other market shows volatility more than trend. New construction contracted ~59% after peaking in 2020 and has not recovered, tracking closely with an affordability crisis that now spans every income bracket — not just lower earners. Investor behavior confirms the same cooling pattern post-2021, with Chicago standing out as the one market offering both scale and stability. Two results (New York’s low demand index and the positive interest-rate/price relationship) run against typical expectations and should be treated as flags for further validation, not settled facts.</t>
  </si>
  <si>
    <t>REAL ESTATE MARKET &amp; TRANSACTION ANALYSIS — DASHBOARD</t>
  </si>
  <si>
    <t>TOTAL PROPERTY RECORDS</t>
  </si>
  <si>
    <t>AVG LISTING PRICE (ALL TYPES)</t>
  </si>
  <si>
    <t>TOTAL NEW PROPERTIES BUILT</t>
  </si>
  <si>
    <t>TOP DEMAND CITY</t>
  </si>
  <si>
    <t>MISSING DATA %</t>
  </si>
  <si>
    <t>1. Price Trend by Year &amp; City (pivoted for chart) — Stage 3, Q1.1</t>
  </si>
  <si>
    <t>Year</t>
  </si>
  <si>
    <t>Chicago</t>
  </si>
  <si>
    <t>Los Angeles</t>
  </si>
  <si>
    <t>Miami</t>
  </si>
  <si>
    <t>New York</t>
  </si>
  <si>
    <t>San Francisco</t>
  </si>
  <si>
    <t>Seattle</t>
  </si>
  <si>
    <t>1b. Price Trend — Long Format — Stage 3, Q1.1</t>
  </si>
  <si>
    <t>City</t>
  </si>
  <si>
    <t>Average_Listing_Price</t>
  </si>
  <si>
    <t>2. Avg Listing Price by Property Type — Stage 3, Q3.1</t>
  </si>
  <si>
    <t>Property_Type</t>
  </si>
  <si>
    <t>Total_Listings</t>
  </si>
  <si>
    <t>Minimum_Listing_Price</t>
  </si>
  <si>
    <t>Maximum_Listing_Price</t>
  </si>
  <si>
    <t>Townhouse</t>
  </si>
  <si>
    <t>Other</t>
  </si>
  <si>
    <t>Apartment</t>
  </si>
  <si>
    <t>Condo</t>
  </si>
  <si>
    <t>House</t>
  </si>
  <si>
    <t>3. Listings Volume by Type &amp; City (pivoted) — Stage 3, Q4.3</t>
  </si>
  <si>
    <t>4. Demand Index vs Home/Rent Price by City — Stage 4, Q1.2  ⚠ AWAITING DATA</t>
  </si>
  <si>
    <t>Average_Housing_Demand_Index</t>
  </si>
  <si>
    <t>Average_Home_Price</t>
  </si>
  <si>
    <t>Average_Rent_Price</t>
  </si>
  <si>
    <t>5. New Properties Built by Year — Stage 5, Q1.1</t>
  </si>
  <si>
    <t>Total_New_Constructions</t>
  </si>
  <si>
    <t>6. New Construction by City — Stage 5, Q2.1</t>
  </si>
  <si>
    <t>7. Investor Activity Trend by Year — Stage 6, Q1.2</t>
  </si>
  <si>
    <t>Average_Investor_Activity</t>
  </si>
  <si>
    <t>YoY_Change</t>
  </si>
  <si>
    <t>8. Affordability Stress by Income Bracket — Stage 6, Q2.3</t>
  </si>
  <si>
    <t>Income_Bracket</t>
  </si>
  <si>
    <t>Average_Ratio</t>
  </si>
  <si>
    <t>Affordability_Stress</t>
  </si>
  <si>
    <t>Stress_Rank</t>
  </si>
  <si>
    <t>$100k-$150k</t>
  </si>
  <si>
    <t>Seriously Unaffordable</t>
  </si>
  <si>
    <t>$75k-$100k</t>
  </si>
  <si>
    <t>$150k+</t>
  </si>
  <si>
    <t>$50k-$75k</t>
  </si>
  <si>
    <t>9. Interest Rate Sensitivity — Stage 3, Q5.1  ⚠ AWAITING DATA</t>
  </si>
  <si>
    <t>Interest_Rate_Band</t>
  </si>
  <si>
    <t>Total_Records</t>
  </si>
  <si>
    <t>3% - 5%</t>
  </si>
  <si>
    <t>5% - 7%</t>
  </si>
  <si>
    <t>10. Construction vs Home Price by City — Stage 5, Q2.5</t>
  </si>
  <si>
    <t>Average_Housing_Demand</t>
  </si>
  <si>
    <t>11. Investor Volatility / Hotspots by City — Stage 6, Q3.3</t>
  </si>
  <si>
    <t>Investor_Activity_Volatility</t>
  </si>
  <si>
    <t>Volatility_Rank</t>
  </si>
  <si>
    <t>12. KPI — Total Record Counts — Stage 1, Q1.1  ⚠ AWAITING DATA</t>
  </si>
  <si>
    <t>Table_Name</t>
  </si>
  <si>
    <t>Properties</t>
  </si>
  <si>
    <t>Market_Trends</t>
  </si>
  <si>
    <t>Agent</t>
  </si>
  <si>
    <t>13. KPI — Missing Values % — Stage 1, Q2.2  ⚠ AWAITING DATA</t>
  </si>
  <si>
    <t>Pct_Missing_Listing_Price</t>
  </si>
  <si>
    <t>Pct_Missing_Property_Type</t>
  </si>
  <si>
    <t>Pct_Missing_Size_SqFt</t>
  </si>
  <si>
    <r>
      <t xml:space="preserve">Key Findings
</t>
    </r>
    <r>
      <rPr>
        <b/>
        <sz val="10.5"/>
        <color rgb="FFFFFFFF"/>
        <rFont val="Arial"/>
        <family val="2"/>
      </rPr>
      <t xml:space="preserve">
•  San Francisco tops every demand metric: index 162.35, price $830,678, rent $3,934
</t>
    </r>
    <r>
      <rPr>
        <sz val="10.5"/>
        <color rgb="FFFFFFFF"/>
        <rFont val="Arial"/>
        <family val="2"/>
      </rPr>
      <t xml:space="preserve">•  New York shows the lowest demand index (98.63) of all six cities — unusual for a major market
</t>
    </r>
    <r>
      <rPr>
        <b/>
        <sz val="10.5"/>
        <color rgb="FFFFFFFF"/>
        <rFont val="Arial"/>
        <family val="2"/>
      </rPr>
      <t xml:space="preserve">•  All 4 income brackets rated "Seriously Unaffordable" (ratios 5.54–6.48)
</t>
    </r>
    <r>
      <rPr>
        <sz val="10.5"/>
        <color rgb="FFFFFFFF"/>
        <rFont val="Arial"/>
        <family val="2"/>
      </rPr>
      <t>•  $100K–$150K earners show more stress (6.48) than $150K+ earners (5.87)
•  Miami has the least rent-favorable price-to-rent ratio (25.8x); Seattle the most favorable (13.0x)</t>
    </r>
  </si>
  <si>
    <r>
      <t xml:space="preserve">Key Findings
</t>
    </r>
    <r>
      <rPr>
        <b/>
        <sz val="10.5"/>
        <color rgb="FFFFFFFF"/>
        <rFont val="Arial"/>
        <family val="2"/>
      </rPr>
      <t xml:space="preserve">
•  San Francisco: +107.8% (2019→2023) — the only sustained appreciation story
</t>
    </r>
    <r>
      <rPr>
        <sz val="10.5"/>
        <color rgb="FFFFFFFF"/>
        <rFont val="Arial"/>
        <family val="2"/>
      </rPr>
      <t>•  Los Angeles: −65.1% net, but swings from $210K to $1.14M — most volatile of all six cities
•  Chicago −63.5% and Seattle −61.0% — both show a similar rise-fall-partial-rebound pattern
•  Property type barely matters: only a 2.25% price spread from House ($1.03M) to Townhouse ($1.06M)
•  Listings volume is evenly spread — 3,247–3,404 per city, ~750–875 per type — no city or type dominates supply.</t>
    </r>
  </si>
  <si>
    <r>
      <t xml:space="preserve">Key Findings
</t>
    </r>
    <r>
      <rPr>
        <b/>
        <sz val="10.5"/>
        <color rgb="FFFFFFFF"/>
        <rFont val="Arial"/>
        <family val="2"/>
      </rPr>
      <t xml:space="preserve">
•  Construction peaked in 2020 (21,844 units), then fell ~59% to 8,980 by 2023
</t>
    </r>
    <r>
      <rPr>
        <sz val="10.5"/>
        <color rgb="FFFFFFFF"/>
        <rFont val="Arial"/>
        <family val="2"/>
      </rPr>
      <t>•  The decline has held steady — 2021–2023 all sit in the 9,000–10,000 unit range
•  Los Angeles builds the most (13,696 units); New York the least (7,844 units)
•  LA also has the highest price volatility despite leading construction — supply hasn’t stabilized it</t>
    </r>
  </si>
  <si>
    <r>
      <t xml:space="preserve">Key Findings
</t>
    </r>
    <r>
      <rPr>
        <b/>
        <sz val="10.5"/>
        <color rgb="FFFFFFFF"/>
        <rFont val="Arial"/>
        <family val="2"/>
      </rPr>
      <t xml:space="preserve">
•  Investor activity rose from 3.35 (2019) to a peak of 4.90 (2021), then cooled to 4.13 (2023)
</t>
    </r>
    <r>
      <rPr>
        <sz val="10.5"/>
        <color rgb="FFFFFFFF"/>
        <rFont val="Arial"/>
        <family val="2"/>
      </rPr>
      <t>•  Chicago: high activity (5.01) + lowest volatility (1.70) — the most stable, dependable market
•  New York: lowest activity (3.12) + highest volatility (2.91) — unpredictable despite low engagement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</si>
</sst>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3" x14ac:knownFonts="1">
    <font>
      <sz val="11"/>
      <color theme="1"/>
      <name val="Calibri"/>
      <family val="2"/>
      <charset val="1"/>
    </font>
    <font>
      <b/>
      <sz val="19"/>
      <color rgb="FFFFFFFF"/>
      <name val="Arial"/>
      <family val="2"/>
    </font>
    <font>
      <i/>
      <sz val="9"/>
      <color rgb="FF808080"/>
      <name val="Arial"/>
      <family val="2"/>
    </font>
    <font>
      <b/>
      <sz val="15"/>
      <color rgb="FFFFFFFF"/>
      <name val="Arial"/>
      <family val="2"/>
    </font>
    <font>
      <b/>
      <sz val="13"/>
      <color rgb="FFFFFFFF"/>
      <name val="Arial"/>
      <family val="2"/>
    </font>
    <font>
      <b/>
      <sz val="10.5"/>
      <color rgb="FFFFFFFF"/>
      <name val="Arial"/>
      <family val="2"/>
    </font>
    <font>
      <sz val="10.5"/>
      <color rgb="FFFFFFFF"/>
      <name val="Arial"/>
      <family val="2"/>
    </font>
    <font>
      <b/>
      <sz val="20"/>
      <color rgb="FFFFFFFF"/>
      <name val="Arial"/>
      <family val="2"/>
    </font>
    <font>
      <b/>
      <sz val="9"/>
      <color rgb="FFFFFFFF"/>
      <name val="Arial"/>
      <family val="2"/>
    </font>
    <font>
      <b/>
      <sz val="18"/>
      <color rgb="FFFFFFFF"/>
      <name val="Arial"/>
      <family val="2"/>
    </font>
    <font>
      <b/>
      <sz val="12"/>
      <color rgb="FF1F386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A7EBB"/>
      </patternFill>
    </fill>
    <fill>
      <patternFill patternType="solid">
        <fgColor rgb="FF548235"/>
        <bgColor rgb="FF808080"/>
      </patternFill>
    </fill>
    <fill>
      <patternFill patternType="solid">
        <fgColor rgb="FFC55A11"/>
        <bgColor rgb="FFC0504D"/>
      </patternFill>
    </fill>
    <fill>
      <patternFill patternType="solid">
        <fgColor rgb="FF7030A0"/>
        <bgColor rgb="FF333399"/>
      </patternFill>
    </fill>
    <fill>
      <patternFill patternType="solid">
        <fgColor rgb="FF808080"/>
        <bgColor rgb="FF878787"/>
      </patternFill>
    </fill>
    <fill>
      <patternFill patternType="solid">
        <fgColor rgb="FFBF8F00"/>
        <bgColor rgb="FFF59240"/>
      </patternFill>
    </fill>
    <fill>
      <patternFill patternType="solid">
        <fgColor rgb="FFC00000"/>
        <bgColor rgb="FF800000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1" fillId="2" borderId="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164" fontId="12" fillId="0" borderId="3" xfId="0" applyNumberFormat="1" applyFont="1" applyBorder="1" applyAlignment="1">
      <alignment horizontal="center"/>
    </xf>
    <xf numFmtId="0" fontId="3" fillId="7" borderId="0" xfId="0" applyFont="1" applyFill="1" applyAlignment="1">
      <alignment horizontal="left" vertical="center" indent="1"/>
    </xf>
    <xf numFmtId="0" fontId="4" fillId="7" borderId="1" xfId="0" applyFont="1" applyFill="1" applyBorder="1" applyAlignment="1">
      <alignment horizontal="left" vertical="top" wrapText="1" indent="1"/>
    </xf>
    <xf numFmtId="0" fontId="3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top" wrapText="1" indent="1"/>
    </xf>
    <xf numFmtId="0" fontId="3" fillId="6" borderId="0" xfId="0" applyFont="1" applyFill="1" applyAlignment="1">
      <alignment horizontal="left" vertical="center" indent="1"/>
    </xf>
    <xf numFmtId="0" fontId="4" fillId="6" borderId="1" xfId="0" applyFont="1" applyFill="1" applyBorder="1" applyAlignment="1">
      <alignment horizontal="left" vertical="top" wrapText="1" indent="1"/>
    </xf>
    <xf numFmtId="0" fontId="3" fillId="5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left" vertical="top" wrapText="1" indent="1"/>
    </xf>
    <xf numFmtId="0" fontId="3" fillId="4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left" vertical="top" wrapText="1" indent="1"/>
    </xf>
    <xf numFmtId="0" fontId="9" fillId="3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3" fontId="9" fillId="5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2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4F81BD"/>
      <rgbColor rgb="FFB7B7B7"/>
      <rgbColor rgb="FF808080"/>
      <rgbColor rgb="FF8064A2"/>
      <rgbColor rgb="FFBE4B48"/>
      <rgbColor rgb="FFF9F9F9"/>
      <rgbColor rgb="FFCCFFFF"/>
      <rgbColor rgb="FF660066"/>
      <rgbColor rgb="FFBF8F00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FF99CC"/>
      <rgbColor rgb="FFCC99FF"/>
      <rgbColor rgb="FF9BBB59"/>
      <rgbColor rgb="FF2E75B6"/>
      <rgbColor rgb="FF4BACC6"/>
      <rgbColor rgb="FF98B855"/>
      <rgbColor rgb="FFFFCC00"/>
      <rgbColor rgb="FFF59240"/>
      <rgbColor rgb="FFC55A11"/>
      <rgbColor rgb="FF7D5FA0"/>
      <rgbColor rgb="FF878787"/>
      <rgbColor rgb="FF1F3864"/>
      <rgbColor rgb="FF46AAC4"/>
      <rgbColor rgb="FF003300"/>
      <rgbColor rgb="FF333300"/>
      <rgbColor rgb="FFC0504D"/>
      <rgbColor rgb="FF7030A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Listing Price by Year &amp;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Raw_Data!$B$4</c:f>
              <c:strCache>
                <c:ptCount val="1"/>
                <c:pt idx="0">
                  <c:v>Chicago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Raw_Data!$A$5:$A$9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Raw_Data!$B$5:$B$9</c:f>
              <c:numCache>
                <c:formatCode>\$#,##0</c:formatCode>
                <c:ptCount val="5"/>
                <c:pt idx="0">
                  <c:v>1073395.1100000001</c:v>
                </c:pt>
                <c:pt idx="1">
                  <c:v>896578.76</c:v>
                </c:pt>
                <c:pt idx="2">
                  <c:v>513825.37</c:v>
                </c:pt>
                <c:pt idx="3">
                  <c:v>733732.61</c:v>
                </c:pt>
                <c:pt idx="4">
                  <c:v>392108.28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5-4F2C-B36E-940503BD8409}"/>
            </c:ext>
          </c:extLst>
        </c:ser>
        <c:ser>
          <c:idx val="1"/>
          <c:order val="1"/>
          <c:tx>
            <c:strRef>
              <c:f>Raw_Data!$C$4</c:f>
              <c:strCache>
                <c:ptCount val="1"/>
                <c:pt idx="0">
                  <c:v>Los Angeles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Raw_Data!$A$5:$A$9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Raw_Data!$C$5:$C$9</c:f>
              <c:numCache>
                <c:formatCode>\$#,##0</c:formatCode>
                <c:ptCount val="5"/>
                <c:pt idx="0">
                  <c:v>642424.18000000005</c:v>
                </c:pt>
                <c:pt idx="1">
                  <c:v>210936.81</c:v>
                </c:pt>
                <c:pt idx="2">
                  <c:v>214699.77</c:v>
                </c:pt>
                <c:pt idx="3">
                  <c:v>1138868.5</c:v>
                </c:pt>
                <c:pt idx="4">
                  <c:v>224506.74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5-4F2C-B36E-940503BD8409}"/>
            </c:ext>
          </c:extLst>
        </c:ser>
        <c:ser>
          <c:idx val="2"/>
          <c:order val="2"/>
          <c:tx>
            <c:strRef>
              <c:f>Raw_Data!$D$4</c:f>
              <c:strCache>
                <c:ptCount val="1"/>
                <c:pt idx="0">
                  <c:v>Miami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Raw_Data!$A$5:$A$9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Raw_Data!$D$5:$D$9</c:f>
              <c:numCache>
                <c:formatCode>\$#,##0</c:formatCode>
                <c:ptCount val="5"/>
                <c:pt idx="0">
                  <c:v>1197709.6399999999</c:v>
                </c:pt>
                <c:pt idx="1">
                  <c:v>754476.52</c:v>
                </c:pt>
                <c:pt idx="2">
                  <c:v>483272.18</c:v>
                </c:pt>
                <c:pt idx="3">
                  <c:v>804927.26</c:v>
                </c:pt>
                <c:pt idx="4">
                  <c:v>884450.75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D5-4F2C-B36E-940503BD8409}"/>
            </c:ext>
          </c:extLst>
        </c:ser>
        <c:ser>
          <c:idx val="3"/>
          <c:order val="3"/>
          <c:tx>
            <c:strRef>
              <c:f>Raw_Data!$E$4</c:f>
              <c:strCache>
                <c:ptCount val="1"/>
                <c:pt idx="0">
                  <c:v>New York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circle"/>
            <c:size val="5"/>
            <c:spPr>
              <a:solidFill>
                <a:srgbClr val="7D5FA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Raw_Data!$A$5:$A$9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Raw_Data!$E$5:$E$9</c:f>
              <c:numCache>
                <c:formatCode>\$#,##0</c:formatCode>
                <c:ptCount val="5"/>
                <c:pt idx="0">
                  <c:v>553835.02</c:v>
                </c:pt>
                <c:pt idx="1">
                  <c:v>703982.47</c:v>
                </c:pt>
                <c:pt idx="2">
                  <c:v>325960.09000000003</c:v>
                </c:pt>
                <c:pt idx="3">
                  <c:v>469439.21</c:v>
                </c:pt>
                <c:pt idx="4">
                  <c:v>600319.88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D5-4F2C-B36E-940503BD8409}"/>
            </c:ext>
          </c:extLst>
        </c:ser>
        <c:ser>
          <c:idx val="4"/>
          <c:order val="4"/>
          <c:tx>
            <c:strRef>
              <c:f>Raw_Data!$F$4</c:f>
              <c:strCache>
                <c:ptCount val="1"/>
                <c:pt idx="0">
                  <c:v>San Francisco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circle"/>
            <c:size val="5"/>
            <c:spPr>
              <a:solidFill>
                <a:srgbClr val="46AA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Raw_Data!$A$5:$A$9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Raw_Data!$F$5:$F$9</c:f>
              <c:numCache>
                <c:formatCode>\$#,##0</c:formatCode>
                <c:ptCount val="5"/>
                <c:pt idx="0">
                  <c:v>420740.15</c:v>
                </c:pt>
                <c:pt idx="1">
                  <c:v>666826.56000000006</c:v>
                </c:pt>
                <c:pt idx="2">
                  <c:v>1097071.31</c:v>
                </c:pt>
                <c:pt idx="3">
                  <c:v>1094283.6299999999</c:v>
                </c:pt>
                <c:pt idx="4">
                  <c:v>874468.71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D5-4F2C-B36E-940503BD8409}"/>
            </c:ext>
          </c:extLst>
        </c:ser>
        <c:ser>
          <c:idx val="5"/>
          <c:order val="5"/>
          <c:tx>
            <c:strRef>
              <c:f>Raw_Data!$G$4</c:f>
              <c:strCache>
                <c:ptCount val="1"/>
                <c:pt idx="0">
                  <c:v>Seattle</c:v>
                </c:pt>
              </c:strCache>
            </c:strRef>
          </c:tx>
          <c:spPr>
            <a:ln w="28440">
              <a:solidFill>
                <a:srgbClr val="F59240"/>
              </a:solidFill>
              <a:round/>
            </a:ln>
          </c:spPr>
          <c:marker>
            <c:symbol val="circle"/>
            <c:size val="5"/>
            <c:spPr>
              <a:solidFill>
                <a:srgbClr val="F5924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Raw_Data!$A$5:$A$9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Raw_Data!$G$5:$G$9</c:f>
              <c:numCache>
                <c:formatCode>\$#,##0</c:formatCode>
                <c:ptCount val="5"/>
                <c:pt idx="0">
                  <c:v>828949.19</c:v>
                </c:pt>
                <c:pt idx="1">
                  <c:v>454059.3</c:v>
                </c:pt>
                <c:pt idx="2">
                  <c:v>314281.25</c:v>
                </c:pt>
                <c:pt idx="3">
                  <c:v>913676.07</c:v>
                </c:pt>
                <c:pt idx="4">
                  <c:v>322967.37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D5-4F2C-B36E-940503BD8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8491005"/>
        <c:axId val="11200109"/>
      </c:lineChart>
      <c:catAx>
        <c:axId val="684910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200109"/>
        <c:crosses val="autoZero"/>
        <c:auto val="1"/>
        <c:lblAlgn val="ctr"/>
        <c:lblOffset val="100"/>
        <c:noMultiLvlLbl val="0"/>
      </c:catAx>
      <c:valAx>
        <c:axId val="112001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4910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Listing Price by Property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Raw_Data!$C$49</c:f>
              <c:strCache>
                <c:ptCount val="1"/>
                <c:pt idx="0">
                  <c:v>Average_Listing_Price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Raw_Data!$A$50:$A$54</c:f>
              <c:strCache>
                <c:ptCount val="5"/>
                <c:pt idx="0">
                  <c:v>Townhouse</c:v>
                </c:pt>
                <c:pt idx="1">
                  <c:v>Other</c:v>
                </c:pt>
                <c:pt idx="2">
                  <c:v>Apartment</c:v>
                </c:pt>
                <c:pt idx="3">
                  <c:v>Condo</c:v>
                </c:pt>
                <c:pt idx="4">
                  <c:v>House</c:v>
                </c:pt>
              </c:strCache>
            </c:strRef>
          </c:cat>
          <c:val>
            <c:numRef>
              <c:f>Raw_Data!$C$50:$C$54</c:f>
              <c:numCache>
                <c:formatCode>\$#,##0</c:formatCode>
                <c:ptCount val="5"/>
                <c:pt idx="0">
                  <c:v>1057516.95</c:v>
                </c:pt>
                <c:pt idx="1">
                  <c:v>1054752.3500000001</c:v>
                </c:pt>
                <c:pt idx="2">
                  <c:v>1045960.18</c:v>
                </c:pt>
                <c:pt idx="3">
                  <c:v>1045217.97</c:v>
                </c:pt>
                <c:pt idx="4">
                  <c:v>1034232.79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D-45DF-8F3C-C175D3602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13623"/>
        <c:axId val="3697019"/>
      </c:barChart>
      <c:catAx>
        <c:axId val="2371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97019"/>
        <c:crosses val="autoZero"/>
        <c:auto val="1"/>
        <c:lblAlgn val="ctr"/>
        <c:lblOffset val="100"/>
        <c:noMultiLvlLbl val="0"/>
      </c:catAx>
      <c:valAx>
        <c:axId val="36970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7136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/>
            </a:pPr>
            <a:r>
              <a:rPr lang="en-US"/>
              <a:t>Listings Volume by Property Type &amp;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Raw_Data!$B$59</c:f>
              <c:strCache>
                <c:ptCount val="1"/>
                <c:pt idx="0">
                  <c:v>Apartment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Raw_Data!$A$60:$A$65</c:f>
              <c:strCache>
                <c:ptCount val="6"/>
                <c:pt idx="0">
                  <c:v>Chicago</c:v>
                </c:pt>
                <c:pt idx="1">
                  <c:v>Los Angeles</c:v>
                </c:pt>
                <c:pt idx="2">
                  <c:v>Miami</c:v>
                </c:pt>
                <c:pt idx="3">
                  <c:v>New York</c:v>
                </c:pt>
                <c:pt idx="4">
                  <c:v>San Francisco</c:v>
                </c:pt>
                <c:pt idx="5">
                  <c:v>Seattle</c:v>
                </c:pt>
              </c:strCache>
            </c:strRef>
          </c:cat>
          <c:val>
            <c:numRef>
              <c:f>Raw_Data!$B$60:$B$65</c:f>
              <c:numCache>
                <c:formatCode>General</c:formatCode>
                <c:ptCount val="6"/>
                <c:pt idx="0">
                  <c:v>836</c:v>
                </c:pt>
                <c:pt idx="1">
                  <c:v>819</c:v>
                </c:pt>
                <c:pt idx="2">
                  <c:v>836</c:v>
                </c:pt>
                <c:pt idx="3">
                  <c:v>809</c:v>
                </c:pt>
                <c:pt idx="4">
                  <c:v>779</c:v>
                </c:pt>
                <c:pt idx="5">
                  <c:v>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5-4E59-9431-29B41D856910}"/>
            </c:ext>
          </c:extLst>
        </c:ser>
        <c:ser>
          <c:idx val="1"/>
          <c:order val="1"/>
          <c:tx>
            <c:strRef>
              <c:f>Raw_Data!$C$59</c:f>
              <c:strCache>
                <c:ptCount val="1"/>
                <c:pt idx="0">
                  <c:v>Condo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Raw_Data!$A$60:$A$65</c:f>
              <c:strCache>
                <c:ptCount val="6"/>
                <c:pt idx="0">
                  <c:v>Chicago</c:v>
                </c:pt>
                <c:pt idx="1">
                  <c:v>Los Angeles</c:v>
                </c:pt>
                <c:pt idx="2">
                  <c:v>Miami</c:v>
                </c:pt>
                <c:pt idx="3">
                  <c:v>New York</c:v>
                </c:pt>
                <c:pt idx="4">
                  <c:v>San Francisco</c:v>
                </c:pt>
                <c:pt idx="5">
                  <c:v>Seattle</c:v>
                </c:pt>
              </c:strCache>
            </c:strRef>
          </c:cat>
          <c:val>
            <c:numRef>
              <c:f>Raw_Data!$C$60:$C$65</c:f>
              <c:numCache>
                <c:formatCode>General</c:formatCode>
                <c:ptCount val="6"/>
                <c:pt idx="0">
                  <c:v>837</c:v>
                </c:pt>
                <c:pt idx="1">
                  <c:v>807</c:v>
                </c:pt>
                <c:pt idx="2">
                  <c:v>814</c:v>
                </c:pt>
                <c:pt idx="3">
                  <c:v>807</c:v>
                </c:pt>
                <c:pt idx="4">
                  <c:v>754</c:v>
                </c:pt>
                <c:pt idx="5">
                  <c:v>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5-4E59-9431-29B41D856910}"/>
            </c:ext>
          </c:extLst>
        </c:ser>
        <c:ser>
          <c:idx val="2"/>
          <c:order val="2"/>
          <c:tx>
            <c:strRef>
              <c:f>Raw_Data!$D$59</c:f>
              <c:strCache>
                <c:ptCount val="1"/>
                <c:pt idx="0">
                  <c:v>House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Raw_Data!$A$60:$A$65</c:f>
              <c:strCache>
                <c:ptCount val="6"/>
                <c:pt idx="0">
                  <c:v>Chicago</c:v>
                </c:pt>
                <c:pt idx="1">
                  <c:v>Los Angeles</c:v>
                </c:pt>
                <c:pt idx="2">
                  <c:v>Miami</c:v>
                </c:pt>
                <c:pt idx="3">
                  <c:v>New York</c:v>
                </c:pt>
                <c:pt idx="4">
                  <c:v>San Francisco</c:v>
                </c:pt>
                <c:pt idx="5">
                  <c:v>Seattle</c:v>
                </c:pt>
              </c:strCache>
            </c:strRef>
          </c:cat>
          <c:val>
            <c:numRef>
              <c:f>Raw_Data!$D$60:$D$65</c:f>
              <c:numCache>
                <c:formatCode>General</c:formatCode>
                <c:ptCount val="6"/>
                <c:pt idx="0">
                  <c:v>820</c:v>
                </c:pt>
                <c:pt idx="1">
                  <c:v>772</c:v>
                </c:pt>
                <c:pt idx="2">
                  <c:v>821</c:v>
                </c:pt>
                <c:pt idx="3">
                  <c:v>814</c:v>
                </c:pt>
                <c:pt idx="4">
                  <c:v>820</c:v>
                </c:pt>
                <c:pt idx="5">
                  <c:v>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5-4E59-9431-29B41D856910}"/>
            </c:ext>
          </c:extLst>
        </c:ser>
        <c:ser>
          <c:idx val="3"/>
          <c:order val="3"/>
          <c:tx>
            <c:strRef>
              <c:f>Raw_Data!$E$59</c:f>
              <c:strCache>
                <c:ptCount val="1"/>
                <c:pt idx="0">
                  <c:v>Townhouse</c:v>
                </c:pt>
              </c:strCache>
            </c:strRef>
          </c:tx>
          <c:spPr>
            <a:solidFill>
              <a:srgbClr val="8064A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Raw_Data!$A$60:$A$65</c:f>
              <c:strCache>
                <c:ptCount val="6"/>
                <c:pt idx="0">
                  <c:v>Chicago</c:v>
                </c:pt>
                <c:pt idx="1">
                  <c:v>Los Angeles</c:v>
                </c:pt>
                <c:pt idx="2">
                  <c:v>Miami</c:v>
                </c:pt>
                <c:pt idx="3">
                  <c:v>New York</c:v>
                </c:pt>
                <c:pt idx="4">
                  <c:v>San Francisco</c:v>
                </c:pt>
                <c:pt idx="5">
                  <c:v>Seattle</c:v>
                </c:pt>
              </c:strCache>
            </c:strRef>
          </c:cat>
          <c:val>
            <c:numRef>
              <c:f>Raw_Data!$E$60:$E$65</c:f>
              <c:numCache>
                <c:formatCode>General</c:formatCode>
                <c:ptCount val="6"/>
                <c:pt idx="0">
                  <c:v>821</c:v>
                </c:pt>
                <c:pt idx="1">
                  <c:v>835</c:v>
                </c:pt>
                <c:pt idx="2">
                  <c:v>830</c:v>
                </c:pt>
                <c:pt idx="3">
                  <c:v>768</c:v>
                </c:pt>
                <c:pt idx="4">
                  <c:v>782</c:v>
                </c:pt>
                <c:pt idx="5">
                  <c:v>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5-4E59-9431-29B41D856910}"/>
            </c:ext>
          </c:extLst>
        </c:ser>
        <c:ser>
          <c:idx val="4"/>
          <c:order val="4"/>
          <c:tx>
            <c:strRef>
              <c:f>Raw_Data!$F$59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4BACC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Raw_Data!$A$60:$A$65</c:f>
              <c:strCache>
                <c:ptCount val="6"/>
                <c:pt idx="0">
                  <c:v>Chicago</c:v>
                </c:pt>
                <c:pt idx="1">
                  <c:v>Los Angeles</c:v>
                </c:pt>
                <c:pt idx="2">
                  <c:v>Miami</c:v>
                </c:pt>
                <c:pt idx="3">
                  <c:v>New York</c:v>
                </c:pt>
                <c:pt idx="4">
                  <c:v>San Francisco</c:v>
                </c:pt>
                <c:pt idx="5">
                  <c:v>Seattle</c:v>
                </c:pt>
              </c:strCache>
            </c:strRef>
          </c:cat>
          <c:val>
            <c:numRef>
              <c:f>Raw_Data!$F$60:$F$65</c:f>
              <c:numCache>
                <c:formatCode>General</c:formatCode>
                <c:ptCount val="6"/>
                <c:pt idx="0">
                  <c:v>79</c:v>
                </c:pt>
                <c:pt idx="1">
                  <c:v>105</c:v>
                </c:pt>
                <c:pt idx="2">
                  <c:v>103</c:v>
                </c:pt>
                <c:pt idx="3">
                  <c:v>118</c:v>
                </c:pt>
                <c:pt idx="4">
                  <c:v>112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5-4E59-9431-29B41D8569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3203950"/>
        <c:axId val="65089465"/>
      </c:barChart>
      <c:catAx>
        <c:axId val="332039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5089465"/>
        <c:crosses val="autoZero"/>
        <c:auto val="1"/>
        <c:lblAlgn val="ctr"/>
        <c:lblOffset val="100"/>
        <c:noMultiLvlLbl val="0"/>
      </c:catAx>
      <c:valAx>
        <c:axId val="650894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32039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>
          <a:alpha val="99000"/>
        </a:srgbClr>
      </a:solidFill>
      <a:round/>
    </a:ln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Housing Demand Index vs Avg Home Price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Raw_Data!$B$70</c:f>
              <c:strCache>
                <c:ptCount val="1"/>
                <c:pt idx="0">
                  <c:v>Average_Housing_Demand_Index</c:v>
                </c:pt>
              </c:strCache>
            </c:strRef>
          </c:tx>
          <c:spPr>
            <a:solidFill>
              <a:srgbClr val="BF8F0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Raw_Data!$A$71:$A$76</c:f>
              <c:strCache>
                <c:ptCount val="6"/>
                <c:pt idx="0">
                  <c:v>San Francisco</c:v>
                </c:pt>
                <c:pt idx="1">
                  <c:v>Chicago</c:v>
                </c:pt>
                <c:pt idx="2">
                  <c:v>Seattle</c:v>
                </c:pt>
                <c:pt idx="3">
                  <c:v>Miami</c:v>
                </c:pt>
                <c:pt idx="4">
                  <c:v>Los Angeles</c:v>
                </c:pt>
                <c:pt idx="5">
                  <c:v>New York</c:v>
                </c:pt>
              </c:strCache>
            </c:strRef>
          </c:cat>
          <c:val>
            <c:numRef>
              <c:f>Raw_Data!$B$71:$B$76</c:f>
              <c:numCache>
                <c:formatCode>General</c:formatCode>
                <c:ptCount val="6"/>
                <c:pt idx="0">
                  <c:v>162.35</c:v>
                </c:pt>
                <c:pt idx="1">
                  <c:v>129.52000000000001</c:v>
                </c:pt>
                <c:pt idx="2">
                  <c:v>122.11</c:v>
                </c:pt>
                <c:pt idx="3">
                  <c:v>117.8</c:v>
                </c:pt>
                <c:pt idx="4">
                  <c:v>105.2</c:v>
                </c:pt>
                <c:pt idx="5">
                  <c:v>98.63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7-496E-9CE6-61ECA996F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540506"/>
        <c:axId val="65607255"/>
      </c:barChart>
      <c:lineChart>
        <c:grouping val="standard"/>
        <c:varyColors val="0"/>
        <c:ser>
          <c:idx val="1"/>
          <c:order val="1"/>
          <c:tx>
            <c:strRef>
              <c:f>Raw_Data!$C$70</c:f>
              <c:strCache>
                <c:ptCount val="1"/>
                <c:pt idx="0">
                  <c:v>Average_Home_Price</c:v>
                </c:pt>
              </c:strCache>
            </c:strRef>
          </c:tx>
          <c:spPr>
            <a:ln w="47520">
              <a:solidFill>
                <a:srgbClr val="C00000"/>
              </a:solidFill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Raw_Data!$A$71:$A$76</c:f>
              <c:strCache>
                <c:ptCount val="6"/>
                <c:pt idx="0">
                  <c:v>San Francisco</c:v>
                </c:pt>
                <c:pt idx="1">
                  <c:v>Chicago</c:v>
                </c:pt>
                <c:pt idx="2">
                  <c:v>Seattle</c:v>
                </c:pt>
                <c:pt idx="3">
                  <c:v>Miami</c:v>
                </c:pt>
                <c:pt idx="4">
                  <c:v>Los Angeles</c:v>
                </c:pt>
                <c:pt idx="5">
                  <c:v>New York</c:v>
                </c:pt>
              </c:strCache>
            </c:strRef>
          </c:cat>
          <c:val>
            <c:numRef>
              <c:f>Raw_Data!$C$71:$C$76</c:f>
              <c:numCache>
                <c:formatCode>General</c:formatCode>
                <c:ptCount val="6"/>
                <c:pt idx="0">
                  <c:v>830678.07</c:v>
                </c:pt>
                <c:pt idx="1">
                  <c:v>721928.03</c:v>
                </c:pt>
                <c:pt idx="2">
                  <c:v>566786.64</c:v>
                </c:pt>
                <c:pt idx="3">
                  <c:v>824967.27</c:v>
                </c:pt>
                <c:pt idx="4">
                  <c:v>486287.2</c:v>
                </c:pt>
                <c:pt idx="5">
                  <c:v>530707.32999999996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B07-496E-9CE6-61ECA996F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9141428"/>
        <c:axId val="7937262"/>
      </c:lineChart>
      <c:catAx>
        <c:axId val="495405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07255"/>
        <c:crosses val="autoZero"/>
        <c:auto val="1"/>
        <c:lblAlgn val="ctr"/>
        <c:lblOffset val="100"/>
        <c:noMultiLvlLbl val="0"/>
      </c:catAx>
      <c:valAx>
        <c:axId val="656072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Demand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540506"/>
        <c:crosses val="autoZero"/>
        <c:crossBetween val="between"/>
      </c:valAx>
      <c:catAx>
        <c:axId val="191414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37262"/>
        <c:crosses val="autoZero"/>
        <c:auto val="1"/>
        <c:lblAlgn val="ctr"/>
        <c:lblOffset val="100"/>
        <c:noMultiLvlLbl val="0"/>
      </c:catAx>
      <c:valAx>
        <c:axId val="793726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Home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141428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Price-to-Income Ratio by Bracket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Raw_Data!$B$112</c:f>
              <c:strCache>
                <c:ptCount val="1"/>
                <c:pt idx="0">
                  <c:v>Average_Ratio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Raw_Data!$A$113:$A$116</c:f>
              <c:strCache>
                <c:ptCount val="4"/>
                <c:pt idx="0">
                  <c:v>$100k-$150k</c:v>
                </c:pt>
                <c:pt idx="1">
                  <c:v>$75k-$100k</c:v>
                </c:pt>
                <c:pt idx="2">
                  <c:v>$150k+</c:v>
                </c:pt>
                <c:pt idx="3">
                  <c:v>$50k-$75k</c:v>
                </c:pt>
              </c:strCache>
            </c:strRef>
          </c:cat>
          <c:val>
            <c:numRef>
              <c:f>Raw_Data!$B$113:$B$116</c:f>
              <c:numCache>
                <c:formatCode>General</c:formatCode>
                <c:ptCount val="4"/>
                <c:pt idx="0">
                  <c:v>6.48</c:v>
                </c:pt>
                <c:pt idx="1">
                  <c:v>5.97</c:v>
                </c:pt>
                <c:pt idx="2">
                  <c:v>5.87</c:v>
                </c:pt>
                <c:pt idx="3">
                  <c:v>5.54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4-4346-8C8F-139836C4A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73526"/>
        <c:axId val="43575040"/>
      </c:barChart>
      <c:catAx>
        <c:axId val="90735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575040"/>
        <c:crosses val="autoZero"/>
        <c:auto val="1"/>
        <c:lblAlgn val="ctr"/>
        <c:lblOffset val="100"/>
        <c:noMultiLvlLbl val="0"/>
      </c:catAx>
      <c:valAx>
        <c:axId val="435750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735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New Properties Built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Raw_Data!$B$81</c:f>
              <c:strCache>
                <c:ptCount val="1"/>
                <c:pt idx="0">
                  <c:v>Total_New_Constructions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Raw_Data!$A$82:$A$86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Raw_Data!$B$82:$B$86</c:f>
              <c:numCache>
                <c:formatCode>General</c:formatCode>
                <c:ptCount val="5"/>
                <c:pt idx="0">
                  <c:v>15516</c:v>
                </c:pt>
                <c:pt idx="1">
                  <c:v>21844</c:v>
                </c:pt>
                <c:pt idx="2">
                  <c:v>10016</c:v>
                </c:pt>
                <c:pt idx="3">
                  <c:v>8772</c:v>
                </c:pt>
                <c:pt idx="4">
                  <c:v>8980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D-45A2-99A1-08ABB6846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19371"/>
        <c:axId val="71458257"/>
      </c:barChart>
      <c:catAx>
        <c:axId val="79193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458257"/>
        <c:crosses val="autoZero"/>
        <c:auto val="1"/>
        <c:lblAlgn val="ctr"/>
        <c:lblOffset val="100"/>
        <c:noMultiLvlLbl val="0"/>
      </c:catAx>
      <c:valAx>
        <c:axId val="714582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193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New Construction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Raw_Data!$B$91</c:f>
              <c:strCache>
                <c:ptCount val="1"/>
                <c:pt idx="0">
                  <c:v>Total_New_Constructions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Raw_Data!$A$92:$A$97</c:f>
              <c:strCache>
                <c:ptCount val="6"/>
                <c:pt idx="0">
                  <c:v>Los Angeles</c:v>
                </c:pt>
                <c:pt idx="1">
                  <c:v>Seattle</c:v>
                </c:pt>
                <c:pt idx="2">
                  <c:v>Chicago</c:v>
                </c:pt>
                <c:pt idx="3">
                  <c:v>San Francisco</c:v>
                </c:pt>
                <c:pt idx="4">
                  <c:v>Miami</c:v>
                </c:pt>
                <c:pt idx="5">
                  <c:v>New York</c:v>
                </c:pt>
              </c:strCache>
            </c:strRef>
          </c:cat>
          <c:val>
            <c:numRef>
              <c:f>Raw_Data!$B$92:$B$97</c:f>
              <c:numCache>
                <c:formatCode>General</c:formatCode>
                <c:ptCount val="6"/>
                <c:pt idx="0">
                  <c:v>13696</c:v>
                </c:pt>
                <c:pt idx="1">
                  <c:v>12604</c:v>
                </c:pt>
                <c:pt idx="2">
                  <c:v>10736</c:v>
                </c:pt>
                <c:pt idx="3">
                  <c:v>10156</c:v>
                </c:pt>
                <c:pt idx="4">
                  <c:v>10092</c:v>
                </c:pt>
                <c:pt idx="5">
                  <c:v>7844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0-448A-B96E-156BBC4BB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16895"/>
        <c:axId val="97274711"/>
      </c:barChart>
      <c:catAx>
        <c:axId val="11116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274711"/>
        <c:crosses val="autoZero"/>
        <c:auto val="1"/>
        <c:lblAlgn val="ctr"/>
        <c:lblOffset val="100"/>
        <c:noMultiLvlLbl val="0"/>
      </c:catAx>
      <c:valAx>
        <c:axId val="9727471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1168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Construction vs Avg Home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Raw_Data!$B$130</c:f>
              <c:strCache>
                <c:ptCount val="1"/>
                <c:pt idx="0">
                  <c:v>Total_New_Constructions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Raw_Data!$A$131:$A$136</c:f>
              <c:strCache>
                <c:ptCount val="6"/>
                <c:pt idx="0">
                  <c:v>Los Angeles</c:v>
                </c:pt>
                <c:pt idx="1">
                  <c:v>Seattle</c:v>
                </c:pt>
                <c:pt idx="2">
                  <c:v>Chicago</c:v>
                </c:pt>
                <c:pt idx="3">
                  <c:v>San Francisco</c:v>
                </c:pt>
                <c:pt idx="4">
                  <c:v>Miami</c:v>
                </c:pt>
                <c:pt idx="5">
                  <c:v>New York</c:v>
                </c:pt>
              </c:strCache>
            </c:strRef>
          </c:cat>
          <c:val>
            <c:numRef>
              <c:f>Raw_Data!$B$131:$B$136</c:f>
              <c:numCache>
                <c:formatCode>General</c:formatCode>
                <c:ptCount val="6"/>
                <c:pt idx="0">
                  <c:v>13696</c:v>
                </c:pt>
                <c:pt idx="1">
                  <c:v>12604</c:v>
                </c:pt>
                <c:pt idx="2">
                  <c:v>10736</c:v>
                </c:pt>
                <c:pt idx="3">
                  <c:v>10156</c:v>
                </c:pt>
                <c:pt idx="4">
                  <c:v>10092</c:v>
                </c:pt>
                <c:pt idx="5">
                  <c:v>7844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C-4EE5-8046-334910578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594689"/>
        <c:axId val="39727884"/>
      </c:barChart>
      <c:lineChart>
        <c:grouping val="standard"/>
        <c:varyColors val="0"/>
        <c:ser>
          <c:idx val="1"/>
          <c:order val="1"/>
          <c:tx>
            <c:strRef>
              <c:f>Raw_Data!$D$130</c:f>
              <c:strCache>
                <c:ptCount val="1"/>
                <c:pt idx="0">
                  <c:v>Average_Home_Price</c:v>
                </c:pt>
              </c:strCache>
            </c:strRef>
          </c:tx>
          <c:spPr>
            <a:ln w="47520">
              <a:solidFill>
                <a:srgbClr val="C00000"/>
              </a:solidFill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Raw_Data!$A$131:$A$136</c:f>
              <c:strCache>
                <c:ptCount val="6"/>
                <c:pt idx="0">
                  <c:v>Los Angeles</c:v>
                </c:pt>
                <c:pt idx="1">
                  <c:v>Seattle</c:v>
                </c:pt>
                <c:pt idx="2">
                  <c:v>Chicago</c:v>
                </c:pt>
                <c:pt idx="3">
                  <c:v>San Francisco</c:v>
                </c:pt>
                <c:pt idx="4">
                  <c:v>Miami</c:v>
                </c:pt>
                <c:pt idx="5">
                  <c:v>New York</c:v>
                </c:pt>
              </c:strCache>
            </c:strRef>
          </c:cat>
          <c:val>
            <c:numRef>
              <c:f>Raw_Data!$D$131:$D$136</c:f>
              <c:numCache>
                <c:formatCode>\$#,##0</c:formatCode>
                <c:ptCount val="6"/>
                <c:pt idx="0">
                  <c:v>486287.2</c:v>
                </c:pt>
                <c:pt idx="1">
                  <c:v>566786.64</c:v>
                </c:pt>
                <c:pt idx="2">
                  <c:v>721928.03</c:v>
                </c:pt>
                <c:pt idx="3">
                  <c:v>830678.07</c:v>
                </c:pt>
                <c:pt idx="4">
                  <c:v>824967.27</c:v>
                </c:pt>
                <c:pt idx="5">
                  <c:v>530707.32999999996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E4C-4EE5-8046-334910578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5117611"/>
        <c:axId val="88169"/>
      </c:lineChart>
      <c:catAx>
        <c:axId val="895946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727884"/>
        <c:crosses val="autoZero"/>
        <c:auto val="1"/>
        <c:lblAlgn val="ctr"/>
        <c:lblOffset val="100"/>
        <c:noMultiLvlLbl val="0"/>
      </c:catAx>
      <c:valAx>
        <c:axId val="397278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594689"/>
        <c:crosses val="autoZero"/>
        <c:crossBetween val="between"/>
      </c:valAx>
      <c:catAx>
        <c:axId val="551176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169"/>
        <c:crosses val="autoZero"/>
        <c:auto val="1"/>
        <c:lblAlgn val="ctr"/>
        <c:lblOffset val="100"/>
        <c:noMultiLvlLbl val="0"/>
      </c:catAx>
      <c:valAx>
        <c:axId val="88169"/>
        <c:scaling>
          <c:orientation val="minMax"/>
        </c:scaling>
        <c:delete val="0"/>
        <c:axPos val="r"/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1176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Investor Activity Trend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Raw_Data!$B$102</c:f>
              <c:strCache>
                <c:ptCount val="1"/>
                <c:pt idx="0">
                  <c:v>Average_Investor_Activity</c:v>
                </c:pt>
              </c:strCache>
            </c:strRef>
          </c:tx>
          <c:spPr>
            <a:ln w="28440">
              <a:solidFill>
                <a:srgbClr val="7030A0"/>
              </a:solidFill>
              <a:round/>
            </a:ln>
          </c:spPr>
          <c:marker>
            <c:symbol val="diamond"/>
            <c:size val="7"/>
            <c:spPr>
              <a:solidFill>
                <a:srgbClr val="7030A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Raw_Data!$A$103:$A$107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Raw_Data!$B$103:$B$107</c:f>
              <c:numCache>
                <c:formatCode>General</c:formatCode>
                <c:ptCount val="5"/>
                <c:pt idx="0">
                  <c:v>3.35</c:v>
                </c:pt>
                <c:pt idx="1">
                  <c:v>4.57</c:v>
                </c:pt>
                <c:pt idx="2">
                  <c:v>4.9000000000000004</c:v>
                </c:pt>
                <c:pt idx="3">
                  <c:v>4.75</c:v>
                </c:pt>
                <c:pt idx="4">
                  <c:v>4.13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17-46F2-B916-5A6F413AC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1038512"/>
        <c:axId val="52591888"/>
      </c:lineChart>
      <c:catAx>
        <c:axId val="3103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591888"/>
        <c:crosses val="autoZero"/>
        <c:auto val="1"/>
        <c:lblAlgn val="ctr"/>
        <c:lblOffset val="100"/>
        <c:noMultiLvlLbl val="0"/>
      </c:catAx>
      <c:valAx>
        <c:axId val="525918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0385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Investor Activity vs Volatility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Cities</c:v>
          </c:tx>
          <c:spPr>
            <a:ln w="47520">
              <a:noFill/>
            </a:ln>
          </c:spPr>
          <c:marker>
            <c:symbol val="circle"/>
            <c:size val="10"/>
            <c:spPr>
              <a:solidFill>
                <a:srgbClr val="7030A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Raw_Data!$B$142:$B$147</c:f>
              <c:numCache>
                <c:formatCode>General</c:formatCode>
                <c:ptCount val="6"/>
                <c:pt idx="0">
                  <c:v>3.12</c:v>
                </c:pt>
                <c:pt idx="1">
                  <c:v>3.64</c:v>
                </c:pt>
                <c:pt idx="2">
                  <c:v>5.13</c:v>
                </c:pt>
                <c:pt idx="3">
                  <c:v>4.54</c:v>
                </c:pt>
                <c:pt idx="4">
                  <c:v>4.57</c:v>
                </c:pt>
                <c:pt idx="5">
                  <c:v>5.01</c:v>
                </c:pt>
              </c:numCache>
            </c:numRef>
          </c:xVal>
          <c:yVal>
            <c:numRef>
              <c:f>Raw_Data!$C$142:$C$147</c:f>
              <c:numCache>
                <c:formatCode>General</c:formatCode>
                <c:ptCount val="6"/>
                <c:pt idx="0">
                  <c:v>2.91</c:v>
                </c:pt>
                <c:pt idx="1">
                  <c:v>2.82</c:v>
                </c:pt>
                <c:pt idx="2">
                  <c:v>2.57</c:v>
                </c:pt>
                <c:pt idx="3">
                  <c:v>2.3199999999999998</c:v>
                </c:pt>
                <c:pt idx="4">
                  <c:v>1.84</c:v>
                </c:pt>
                <c:pt idx="5">
                  <c:v>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3A-4573-A42F-FD8A65860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7556"/>
        <c:axId val="63348652"/>
      </c:scatterChart>
      <c:valAx>
        <c:axId val="1893755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Investor Activity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348652"/>
        <c:crosses val="autoZero"/>
        <c:crossBetween val="midCat"/>
      </c:valAx>
      <c:valAx>
        <c:axId val="633486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Volatility (Std Dev)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93755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Home Price by Interest Rate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Raw_Data!$C$121</c:f>
              <c:strCache>
                <c:ptCount val="1"/>
                <c:pt idx="0">
                  <c:v>Average_Home_Price</c:v>
                </c:pt>
              </c:strCache>
            </c:strRef>
          </c:tx>
          <c:spPr>
            <a:solidFill>
              <a:srgbClr val="BF8F0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Raw_Data!$A$122:$A$123</c:f>
              <c:strCache>
                <c:ptCount val="2"/>
                <c:pt idx="0">
                  <c:v>3% - 5%</c:v>
                </c:pt>
                <c:pt idx="1">
                  <c:v>5% - 7%</c:v>
                </c:pt>
              </c:strCache>
            </c:strRef>
          </c:cat>
          <c:val>
            <c:numRef>
              <c:f>Raw_Data!$C$122:$C$123</c:f>
              <c:numCache>
                <c:formatCode>General</c:formatCode>
                <c:ptCount val="2"/>
                <c:pt idx="0">
                  <c:v>630723.54</c:v>
                </c:pt>
                <c:pt idx="1">
                  <c:v>704479.08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6-4EA3-BD70-47640528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10482"/>
        <c:axId val="428242"/>
      </c:barChart>
      <c:catAx>
        <c:axId val="58104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8242"/>
        <c:crosses val="autoZero"/>
        <c:auto val="1"/>
        <c:lblAlgn val="ctr"/>
        <c:lblOffset val="100"/>
        <c:noMultiLvlLbl val="0"/>
      </c:catAx>
      <c:valAx>
        <c:axId val="4282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104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Listing Price by Year &amp;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Raw_Data!$B$4</c:f>
              <c:strCache>
                <c:ptCount val="1"/>
                <c:pt idx="0">
                  <c:v>Chicago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Raw_Data!$A$5:$A$9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Raw_Data!$B$5:$B$9</c:f>
              <c:numCache>
                <c:formatCode>\$#,##0</c:formatCode>
                <c:ptCount val="5"/>
                <c:pt idx="0">
                  <c:v>1073395.1100000001</c:v>
                </c:pt>
                <c:pt idx="1">
                  <c:v>896578.76</c:v>
                </c:pt>
                <c:pt idx="2">
                  <c:v>513825.37</c:v>
                </c:pt>
                <c:pt idx="3">
                  <c:v>733732.61</c:v>
                </c:pt>
                <c:pt idx="4">
                  <c:v>392108.28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D-48F9-8C76-3EA1C6F7C526}"/>
            </c:ext>
          </c:extLst>
        </c:ser>
        <c:ser>
          <c:idx val="1"/>
          <c:order val="1"/>
          <c:tx>
            <c:strRef>
              <c:f>Raw_Data!$C$4</c:f>
              <c:strCache>
                <c:ptCount val="1"/>
                <c:pt idx="0">
                  <c:v>Los Angeles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Raw_Data!$A$5:$A$9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Raw_Data!$C$5:$C$9</c:f>
              <c:numCache>
                <c:formatCode>\$#,##0</c:formatCode>
                <c:ptCount val="5"/>
                <c:pt idx="0">
                  <c:v>642424.18000000005</c:v>
                </c:pt>
                <c:pt idx="1">
                  <c:v>210936.81</c:v>
                </c:pt>
                <c:pt idx="2">
                  <c:v>214699.77</c:v>
                </c:pt>
                <c:pt idx="3">
                  <c:v>1138868.5</c:v>
                </c:pt>
                <c:pt idx="4">
                  <c:v>224506.74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D-48F9-8C76-3EA1C6F7C526}"/>
            </c:ext>
          </c:extLst>
        </c:ser>
        <c:ser>
          <c:idx val="2"/>
          <c:order val="2"/>
          <c:tx>
            <c:strRef>
              <c:f>Raw_Data!$D$4</c:f>
              <c:strCache>
                <c:ptCount val="1"/>
                <c:pt idx="0">
                  <c:v>Miami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Raw_Data!$A$5:$A$9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Raw_Data!$D$5:$D$9</c:f>
              <c:numCache>
                <c:formatCode>\$#,##0</c:formatCode>
                <c:ptCount val="5"/>
                <c:pt idx="0">
                  <c:v>1197709.6399999999</c:v>
                </c:pt>
                <c:pt idx="1">
                  <c:v>754476.52</c:v>
                </c:pt>
                <c:pt idx="2">
                  <c:v>483272.18</c:v>
                </c:pt>
                <c:pt idx="3">
                  <c:v>804927.26</c:v>
                </c:pt>
                <c:pt idx="4">
                  <c:v>884450.75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CD-48F9-8C76-3EA1C6F7C526}"/>
            </c:ext>
          </c:extLst>
        </c:ser>
        <c:ser>
          <c:idx val="3"/>
          <c:order val="3"/>
          <c:tx>
            <c:strRef>
              <c:f>Raw_Data!$E$4</c:f>
              <c:strCache>
                <c:ptCount val="1"/>
                <c:pt idx="0">
                  <c:v>New York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circle"/>
            <c:size val="5"/>
            <c:spPr>
              <a:solidFill>
                <a:srgbClr val="7D5FA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Raw_Data!$A$5:$A$9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Raw_Data!$E$5:$E$9</c:f>
              <c:numCache>
                <c:formatCode>\$#,##0</c:formatCode>
                <c:ptCount val="5"/>
                <c:pt idx="0">
                  <c:v>553835.02</c:v>
                </c:pt>
                <c:pt idx="1">
                  <c:v>703982.47</c:v>
                </c:pt>
                <c:pt idx="2">
                  <c:v>325960.09000000003</c:v>
                </c:pt>
                <c:pt idx="3">
                  <c:v>469439.21</c:v>
                </c:pt>
                <c:pt idx="4">
                  <c:v>600319.88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CD-48F9-8C76-3EA1C6F7C526}"/>
            </c:ext>
          </c:extLst>
        </c:ser>
        <c:ser>
          <c:idx val="4"/>
          <c:order val="4"/>
          <c:tx>
            <c:strRef>
              <c:f>Raw_Data!$F$4</c:f>
              <c:strCache>
                <c:ptCount val="1"/>
                <c:pt idx="0">
                  <c:v>San Francisco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circle"/>
            <c:size val="5"/>
            <c:spPr>
              <a:solidFill>
                <a:srgbClr val="46AA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Raw_Data!$A$5:$A$9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Raw_Data!$F$5:$F$9</c:f>
              <c:numCache>
                <c:formatCode>\$#,##0</c:formatCode>
                <c:ptCount val="5"/>
                <c:pt idx="0">
                  <c:v>420740.15</c:v>
                </c:pt>
                <c:pt idx="1">
                  <c:v>666826.56000000006</c:v>
                </c:pt>
                <c:pt idx="2">
                  <c:v>1097071.31</c:v>
                </c:pt>
                <c:pt idx="3">
                  <c:v>1094283.6299999999</c:v>
                </c:pt>
                <c:pt idx="4">
                  <c:v>874468.71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CD-48F9-8C76-3EA1C6F7C526}"/>
            </c:ext>
          </c:extLst>
        </c:ser>
        <c:ser>
          <c:idx val="5"/>
          <c:order val="5"/>
          <c:tx>
            <c:strRef>
              <c:f>Raw_Data!$G$4</c:f>
              <c:strCache>
                <c:ptCount val="1"/>
                <c:pt idx="0">
                  <c:v>Seattle</c:v>
                </c:pt>
              </c:strCache>
            </c:strRef>
          </c:tx>
          <c:spPr>
            <a:ln w="28440">
              <a:solidFill>
                <a:srgbClr val="F59240"/>
              </a:solidFill>
              <a:round/>
            </a:ln>
          </c:spPr>
          <c:marker>
            <c:symbol val="circle"/>
            <c:size val="5"/>
            <c:spPr>
              <a:solidFill>
                <a:srgbClr val="F5924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Raw_Data!$A$5:$A$9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Raw_Data!$G$5:$G$9</c:f>
              <c:numCache>
                <c:formatCode>\$#,##0</c:formatCode>
                <c:ptCount val="5"/>
                <c:pt idx="0">
                  <c:v>828949.19</c:v>
                </c:pt>
                <c:pt idx="1">
                  <c:v>454059.3</c:v>
                </c:pt>
                <c:pt idx="2">
                  <c:v>314281.25</c:v>
                </c:pt>
                <c:pt idx="3">
                  <c:v>913676.07</c:v>
                </c:pt>
                <c:pt idx="4">
                  <c:v>322967.37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CD-48F9-8C76-3EA1C6F7C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4353974"/>
        <c:axId val="20428279"/>
      </c:lineChart>
      <c:catAx>
        <c:axId val="343539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428279"/>
        <c:crosses val="autoZero"/>
        <c:auto val="1"/>
        <c:lblAlgn val="ctr"/>
        <c:lblOffset val="100"/>
        <c:noMultiLvlLbl val="0"/>
      </c:catAx>
      <c:valAx>
        <c:axId val="204282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Listing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3539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Listing Price by Property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Raw_Data!$C$49</c:f>
              <c:strCache>
                <c:ptCount val="1"/>
                <c:pt idx="0">
                  <c:v>Average_Listing_Price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Raw_Data!$A$50:$A$54</c:f>
              <c:strCache>
                <c:ptCount val="5"/>
                <c:pt idx="0">
                  <c:v>Townhouse</c:v>
                </c:pt>
                <c:pt idx="1">
                  <c:v>Other</c:v>
                </c:pt>
                <c:pt idx="2">
                  <c:v>Apartment</c:v>
                </c:pt>
                <c:pt idx="3">
                  <c:v>Condo</c:v>
                </c:pt>
                <c:pt idx="4">
                  <c:v>House</c:v>
                </c:pt>
              </c:strCache>
            </c:strRef>
          </c:cat>
          <c:val>
            <c:numRef>
              <c:f>Raw_Data!$C$50:$C$54</c:f>
              <c:numCache>
                <c:formatCode>\$#,##0</c:formatCode>
                <c:ptCount val="5"/>
                <c:pt idx="0">
                  <c:v>1057516.95</c:v>
                </c:pt>
                <c:pt idx="1">
                  <c:v>1054752.3500000001</c:v>
                </c:pt>
                <c:pt idx="2">
                  <c:v>1045960.18</c:v>
                </c:pt>
                <c:pt idx="3">
                  <c:v>1045217.97</c:v>
                </c:pt>
                <c:pt idx="4">
                  <c:v>1034232.79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4-44BF-B3A1-90A38E41A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071054"/>
        <c:axId val="86697901"/>
      </c:barChart>
      <c:catAx>
        <c:axId val="420710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97901"/>
        <c:crosses val="autoZero"/>
        <c:auto val="1"/>
        <c:lblAlgn val="ctr"/>
        <c:lblOffset val="100"/>
        <c:noMultiLvlLbl val="0"/>
      </c:catAx>
      <c:valAx>
        <c:axId val="866979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Listing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0710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Listings Volume by Type &amp;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Raw_Data!$B$59</c:f>
              <c:strCache>
                <c:ptCount val="1"/>
                <c:pt idx="0">
                  <c:v>Apartment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Raw_Data!$A$60:$A$65</c:f>
              <c:strCache>
                <c:ptCount val="6"/>
                <c:pt idx="0">
                  <c:v>Chicago</c:v>
                </c:pt>
                <c:pt idx="1">
                  <c:v>Los Angeles</c:v>
                </c:pt>
                <c:pt idx="2">
                  <c:v>Miami</c:v>
                </c:pt>
                <c:pt idx="3">
                  <c:v>New York</c:v>
                </c:pt>
                <c:pt idx="4">
                  <c:v>San Francisco</c:v>
                </c:pt>
                <c:pt idx="5">
                  <c:v>Seattle</c:v>
                </c:pt>
              </c:strCache>
            </c:strRef>
          </c:cat>
          <c:val>
            <c:numRef>
              <c:f>Raw_Data!$B$60:$B$65</c:f>
              <c:numCache>
                <c:formatCode>General</c:formatCode>
                <c:ptCount val="6"/>
                <c:pt idx="0">
                  <c:v>836</c:v>
                </c:pt>
                <c:pt idx="1">
                  <c:v>819</c:v>
                </c:pt>
                <c:pt idx="2">
                  <c:v>836</c:v>
                </c:pt>
                <c:pt idx="3">
                  <c:v>809</c:v>
                </c:pt>
                <c:pt idx="4">
                  <c:v>779</c:v>
                </c:pt>
                <c:pt idx="5">
                  <c:v>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A-40BE-9E56-CA05C6205624}"/>
            </c:ext>
          </c:extLst>
        </c:ser>
        <c:ser>
          <c:idx val="1"/>
          <c:order val="1"/>
          <c:tx>
            <c:strRef>
              <c:f>Raw_Data!$C$59</c:f>
              <c:strCache>
                <c:ptCount val="1"/>
                <c:pt idx="0">
                  <c:v>Condo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Raw_Data!$A$60:$A$65</c:f>
              <c:strCache>
                <c:ptCount val="6"/>
                <c:pt idx="0">
                  <c:v>Chicago</c:v>
                </c:pt>
                <c:pt idx="1">
                  <c:v>Los Angeles</c:v>
                </c:pt>
                <c:pt idx="2">
                  <c:v>Miami</c:v>
                </c:pt>
                <c:pt idx="3">
                  <c:v>New York</c:v>
                </c:pt>
                <c:pt idx="4">
                  <c:v>San Francisco</c:v>
                </c:pt>
                <c:pt idx="5">
                  <c:v>Seattle</c:v>
                </c:pt>
              </c:strCache>
            </c:strRef>
          </c:cat>
          <c:val>
            <c:numRef>
              <c:f>Raw_Data!$C$60:$C$65</c:f>
              <c:numCache>
                <c:formatCode>General</c:formatCode>
                <c:ptCount val="6"/>
                <c:pt idx="0">
                  <c:v>837</c:v>
                </c:pt>
                <c:pt idx="1">
                  <c:v>807</c:v>
                </c:pt>
                <c:pt idx="2">
                  <c:v>814</c:v>
                </c:pt>
                <c:pt idx="3">
                  <c:v>807</c:v>
                </c:pt>
                <c:pt idx="4">
                  <c:v>754</c:v>
                </c:pt>
                <c:pt idx="5">
                  <c:v>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A-40BE-9E56-CA05C6205624}"/>
            </c:ext>
          </c:extLst>
        </c:ser>
        <c:ser>
          <c:idx val="2"/>
          <c:order val="2"/>
          <c:tx>
            <c:strRef>
              <c:f>Raw_Data!$D$59</c:f>
              <c:strCache>
                <c:ptCount val="1"/>
                <c:pt idx="0">
                  <c:v>House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Raw_Data!$A$60:$A$65</c:f>
              <c:strCache>
                <c:ptCount val="6"/>
                <c:pt idx="0">
                  <c:v>Chicago</c:v>
                </c:pt>
                <c:pt idx="1">
                  <c:v>Los Angeles</c:v>
                </c:pt>
                <c:pt idx="2">
                  <c:v>Miami</c:v>
                </c:pt>
                <c:pt idx="3">
                  <c:v>New York</c:v>
                </c:pt>
                <c:pt idx="4">
                  <c:v>San Francisco</c:v>
                </c:pt>
                <c:pt idx="5">
                  <c:v>Seattle</c:v>
                </c:pt>
              </c:strCache>
            </c:strRef>
          </c:cat>
          <c:val>
            <c:numRef>
              <c:f>Raw_Data!$D$60:$D$65</c:f>
              <c:numCache>
                <c:formatCode>General</c:formatCode>
                <c:ptCount val="6"/>
                <c:pt idx="0">
                  <c:v>820</c:v>
                </c:pt>
                <c:pt idx="1">
                  <c:v>772</c:v>
                </c:pt>
                <c:pt idx="2">
                  <c:v>821</c:v>
                </c:pt>
                <c:pt idx="3">
                  <c:v>814</c:v>
                </c:pt>
                <c:pt idx="4">
                  <c:v>820</c:v>
                </c:pt>
                <c:pt idx="5">
                  <c:v>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A-40BE-9E56-CA05C6205624}"/>
            </c:ext>
          </c:extLst>
        </c:ser>
        <c:ser>
          <c:idx val="3"/>
          <c:order val="3"/>
          <c:tx>
            <c:strRef>
              <c:f>Raw_Data!$E$59</c:f>
              <c:strCache>
                <c:ptCount val="1"/>
                <c:pt idx="0">
                  <c:v>Townhouse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Raw_Data!$A$60:$A$65</c:f>
              <c:strCache>
                <c:ptCount val="6"/>
                <c:pt idx="0">
                  <c:v>Chicago</c:v>
                </c:pt>
                <c:pt idx="1">
                  <c:v>Los Angeles</c:v>
                </c:pt>
                <c:pt idx="2">
                  <c:v>Miami</c:v>
                </c:pt>
                <c:pt idx="3">
                  <c:v>New York</c:v>
                </c:pt>
                <c:pt idx="4">
                  <c:v>San Francisco</c:v>
                </c:pt>
                <c:pt idx="5">
                  <c:v>Seattle</c:v>
                </c:pt>
              </c:strCache>
            </c:strRef>
          </c:cat>
          <c:val>
            <c:numRef>
              <c:f>Raw_Data!$E$60:$E$65</c:f>
              <c:numCache>
                <c:formatCode>General</c:formatCode>
                <c:ptCount val="6"/>
                <c:pt idx="0">
                  <c:v>821</c:v>
                </c:pt>
                <c:pt idx="1">
                  <c:v>835</c:v>
                </c:pt>
                <c:pt idx="2">
                  <c:v>830</c:v>
                </c:pt>
                <c:pt idx="3">
                  <c:v>768</c:v>
                </c:pt>
                <c:pt idx="4">
                  <c:v>782</c:v>
                </c:pt>
                <c:pt idx="5">
                  <c:v>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7A-40BE-9E56-CA05C6205624}"/>
            </c:ext>
          </c:extLst>
        </c:ser>
        <c:ser>
          <c:idx val="4"/>
          <c:order val="4"/>
          <c:tx>
            <c:strRef>
              <c:f>Raw_Data!$F$59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Raw_Data!$A$60:$A$65</c:f>
              <c:strCache>
                <c:ptCount val="6"/>
                <c:pt idx="0">
                  <c:v>Chicago</c:v>
                </c:pt>
                <c:pt idx="1">
                  <c:v>Los Angeles</c:v>
                </c:pt>
                <c:pt idx="2">
                  <c:v>Miami</c:v>
                </c:pt>
                <c:pt idx="3">
                  <c:v>New York</c:v>
                </c:pt>
                <c:pt idx="4">
                  <c:v>San Francisco</c:v>
                </c:pt>
                <c:pt idx="5">
                  <c:v>Seattle</c:v>
                </c:pt>
              </c:strCache>
            </c:strRef>
          </c:cat>
          <c:val>
            <c:numRef>
              <c:f>Raw_Data!$F$60:$F$65</c:f>
              <c:numCache>
                <c:formatCode>General</c:formatCode>
                <c:ptCount val="6"/>
                <c:pt idx="0">
                  <c:v>79</c:v>
                </c:pt>
                <c:pt idx="1">
                  <c:v>105</c:v>
                </c:pt>
                <c:pt idx="2">
                  <c:v>103</c:v>
                </c:pt>
                <c:pt idx="3">
                  <c:v>118</c:v>
                </c:pt>
                <c:pt idx="4">
                  <c:v>112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7A-40BE-9E56-CA05C6205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70235"/>
        <c:axId val="59950619"/>
      </c:barChart>
      <c:catAx>
        <c:axId val="199702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950619"/>
        <c:crosses val="autoZero"/>
        <c:auto val="1"/>
        <c:lblAlgn val="ctr"/>
        <c:lblOffset val="100"/>
        <c:noMultiLvlLbl val="0"/>
      </c:catAx>
      <c:valAx>
        <c:axId val="599506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Listings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9702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Housing Demand Index vs Avg Home Price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Raw_Data!$B$70</c:f>
              <c:strCache>
                <c:ptCount val="1"/>
                <c:pt idx="0">
                  <c:v>Average_Housing_Demand_Index</c:v>
                </c:pt>
              </c:strCache>
            </c:strRef>
          </c:tx>
          <c:spPr>
            <a:solidFill>
              <a:srgbClr val="BF8F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Raw_Data!$A$71:$A$76</c:f>
              <c:strCache>
                <c:ptCount val="6"/>
                <c:pt idx="0">
                  <c:v>San Francisco</c:v>
                </c:pt>
                <c:pt idx="1">
                  <c:v>Chicago</c:v>
                </c:pt>
                <c:pt idx="2">
                  <c:v>Seattle</c:v>
                </c:pt>
                <c:pt idx="3">
                  <c:v>Miami</c:v>
                </c:pt>
                <c:pt idx="4">
                  <c:v>Los Angeles</c:v>
                </c:pt>
                <c:pt idx="5">
                  <c:v>New York</c:v>
                </c:pt>
              </c:strCache>
            </c:strRef>
          </c:cat>
          <c:val>
            <c:numRef>
              <c:f>Raw_Data!$B$71:$B$76</c:f>
              <c:numCache>
                <c:formatCode>General</c:formatCode>
                <c:ptCount val="6"/>
                <c:pt idx="0">
                  <c:v>162.35</c:v>
                </c:pt>
                <c:pt idx="1">
                  <c:v>129.52000000000001</c:v>
                </c:pt>
                <c:pt idx="2">
                  <c:v>122.11</c:v>
                </c:pt>
                <c:pt idx="3">
                  <c:v>117.8</c:v>
                </c:pt>
                <c:pt idx="4">
                  <c:v>105.2</c:v>
                </c:pt>
                <c:pt idx="5">
                  <c:v>98.63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5-4854-A355-60E49C5E0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15396"/>
        <c:axId val="65918203"/>
      </c:barChart>
      <c:catAx>
        <c:axId val="511153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918203"/>
        <c:crosses val="autoZero"/>
        <c:auto val="1"/>
        <c:lblAlgn val="ctr"/>
        <c:lblOffset val="100"/>
        <c:noMultiLvlLbl val="0"/>
      </c:catAx>
      <c:valAx>
        <c:axId val="659182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1153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New Properties Built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Raw_Data!$B$81</c:f>
              <c:strCache>
                <c:ptCount val="1"/>
                <c:pt idx="0">
                  <c:v>Total_New_Constructions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Raw_Data!$A$82:$A$86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Raw_Data!$B$82:$B$86</c:f>
              <c:numCache>
                <c:formatCode>General</c:formatCode>
                <c:ptCount val="5"/>
                <c:pt idx="0">
                  <c:v>15516</c:v>
                </c:pt>
                <c:pt idx="1">
                  <c:v>21844</c:v>
                </c:pt>
                <c:pt idx="2">
                  <c:v>10016</c:v>
                </c:pt>
                <c:pt idx="3">
                  <c:v>8772</c:v>
                </c:pt>
                <c:pt idx="4">
                  <c:v>8980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7-4CD8-AE2B-BCEC6131E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552207"/>
        <c:axId val="64036212"/>
      </c:barChart>
      <c:catAx>
        <c:axId val="735522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036212"/>
        <c:crosses val="autoZero"/>
        <c:auto val="1"/>
        <c:lblAlgn val="ctr"/>
        <c:lblOffset val="100"/>
        <c:noMultiLvlLbl val="0"/>
      </c:catAx>
      <c:valAx>
        <c:axId val="640362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New Constructions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5522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New Construction by City (Ranked)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Raw_Data!$B$91</c:f>
              <c:strCache>
                <c:ptCount val="1"/>
                <c:pt idx="0">
                  <c:v>Total_New_Constructions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Raw_Data!$A$92:$A$97</c:f>
              <c:strCache>
                <c:ptCount val="6"/>
                <c:pt idx="0">
                  <c:v>Los Angeles</c:v>
                </c:pt>
                <c:pt idx="1">
                  <c:v>Seattle</c:v>
                </c:pt>
                <c:pt idx="2">
                  <c:v>Chicago</c:v>
                </c:pt>
                <c:pt idx="3">
                  <c:v>San Francisco</c:v>
                </c:pt>
                <c:pt idx="4">
                  <c:v>Miami</c:v>
                </c:pt>
                <c:pt idx="5">
                  <c:v>New York</c:v>
                </c:pt>
              </c:strCache>
            </c:strRef>
          </c:cat>
          <c:val>
            <c:numRef>
              <c:f>Raw_Data!$B$92:$B$97</c:f>
              <c:numCache>
                <c:formatCode>General</c:formatCode>
                <c:ptCount val="6"/>
                <c:pt idx="0">
                  <c:v>13696</c:v>
                </c:pt>
                <c:pt idx="1">
                  <c:v>12604</c:v>
                </c:pt>
                <c:pt idx="2">
                  <c:v>10736</c:v>
                </c:pt>
                <c:pt idx="3">
                  <c:v>10156</c:v>
                </c:pt>
                <c:pt idx="4">
                  <c:v>10092</c:v>
                </c:pt>
                <c:pt idx="5">
                  <c:v>7844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6-465E-8DBF-FEADCD8EB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84371"/>
        <c:axId val="12519587"/>
      </c:barChart>
      <c:catAx>
        <c:axId val="2548437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New Constructions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519587"/>
        <c:crosses val="autoZero"/>
        <c:auto val="1"/>
        <c:lblAlgn val="ctr"/>
        <c:lblOffset val="100"/>
        <c:noMultiLvlLbl val="0"/>
      </c:catAx>
      <c:valAx>
        <c:axId val="1251958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4843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Investor Activity Trend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Raw_Data!$B$102</c:f>
              <c:strCache>
                <c:ptCount val="1"/>
                <c:pt idx="0">
                  <c:v>Average_Investor_Activity</c:v>
                </c:pt>
              </c:strCache>
            </c:strRef>
          </c:tx>
          <c:spPr>
            <a:ln w="28440">
              <a:solidFill>
                <a:srgbClr val="C55A11"/>
              </a:solidFill>
              <a:round/>
            </a:ln>
          </c:spPr>
          <c:marker>
            <c:symbol val="diamond"/>
            <c:size val="7"/>
            <c:spPr>
              <a:solidFill>
                <a:srgbClr val="C55A1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Raw_Data!$A$103:$A$107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Raw_Data!$B$103:$B$107</c:f>
              <c:numCache>
                <c:formatCode>General</c:formatCode>
                <c:ptCount val="5"/>
                <c:pt idx="0">
                  <c:v>3.35</c:v>
                </c:pt>
                <c:pt idx="1">
                  <c:v>4.57</c:v>
                </c:pt>
                <c:pt idx="2">
                  <c:v>4.9000000000000004</c:v>
                </c:pt>
                <c:pt idx="3">
                  <c:v>4.75</c:v>
                </c:pt>
                <c:pt idx="4">
                  <c:v>4.13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635-4B8A-9846-15DA74E18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807997"/>
        <c:axId val="9522864"/>
      </c:lineChart>
      <c:catAx>
        <c:axId val="98079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22864"/>
        <c:crosses val="autoZero"/>
        <c:auto val="1"/>
        <c:lblAlgn val="ctr"/>
        <c:lblOffset val="100"/>
        <c:noMultiLvlLbl val="0"/>
      </c:catAx>
      <c:valAx>
        <c:axId val="95228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Investor Activity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079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Price-to-Income Ratio by Income Bracket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Raw_Data!$B$112</c:f>
              <c:strCache>
                <c:ptCount val="1"/>
                <c:pt idx="0">
                  <c:v>Average_Ratio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Raw_Data!$A$113:$A$116</c:f>
              <c:strCache>
                <c:ptCount val="4"/>
                <c:pt idx="0">
                  <c:v>$100k-$150k</c:v>
                </c:pt>
                <c:pt idx="1">
                  <c:v>$75k-$100k</c:v>
                </c:pt>
                <c:pt idx="2">
                  <c:v>$150k+</c:v>
                </c:pt>
                <c:pt idx="3">
                  <c:v>$50k-$75k</c:v>
                </c:pt>
              </c:strCache>
            </c:strRef>
          </c:cat>
          <c:val>
            <c:numRef>
              <c:f>Raw_Data!$B$113:$B$116</c:f>
              <c:numCache>
                <c:formatCode>General</c:formatCode>
                <c:ptCount val="4"/>
                <c:pt idx="0">
                  <c:v>6.48</c:v>
                </c:pt>
                <c:pt idx="1">
                  <c:v>5.97</c:v>
                </c:pt>
                <c:pt idx="2">
                  <c:v>5.87</c:v>
                </c:pt>
                <c:pt idx="3">
                  <c:v>5.54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E-47C9-98E8-C36F116A9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47975"/>
        <c:axId val="18426590"/>
      </c:barChart>
      <c:catAx>
        <c:axId val="176479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426590"/>
        <c:crosses val="autoZero"/>
        <c:auto val="1"/>
        <c:lblAlgn val="ctr"/>
        <c:lblOffset val="100"/>
        <c:noMultiLvlLbl val="0"/>
      </c:catAx>
      <c:valAx>
        <c:axId val="18426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Price-to-Income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6479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Home Price by Interest Rate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Raw_Data!$C$121</c:f>
              <c:strCache>
                <c:ptCount val="1"/>
                <c:pt idx="0">
                  <c:v>Average_Home_Price</c:v>
                </c:pt>
              </c:strCache>
            </c:strRef>
          </c:tx>
          <c:spPr>
            <a:solidFill>
              <a:srgbClr val="BF8F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Raw_Data!$A$122:$A$123</c:f>
              <c:strCache>
                <c:ptCount val="2"/>
                <c:pt idx="0">
                  <c:v>3% - 5%</c:v>
                </c:pt>
                <c:pt idx="1">
                  <c:v>5% - 7%</c:v>
                </c:pt>
              </c:strCache>
            </c:strRef>
          </c:cat>
          <c:val>
            <c:numRef>
              <c:f>Raw_Data!$C$122:$C$123</c:f>
              <c:numCache>
                <c:formatCode>General</c:formatCode>
                <c:ptCount val="2"/>
                <c:pt idx="0">
                  <c:v>630723.54</c:v>
                </c:pt>
                <c:pt idx="1">
                  <c:v>704479.08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C-4F4A-9035-52C61156C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535457"/>
        <c:axId val="42159289"/>
      </c:barChart>
      <c:catAx>
        <c:axId val="275354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159289"/>
        <c:crosses val="autoZero"/>
        <c:auto val="1"/>
        <c:lblAlgn val="ctr"/>
        <c:lblOffset val="100"/>
        <c:noMultiLvlLbl val="0"/>
      </c:catAx>
      <c:valAx>
        <c:axId val="421592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5354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New Construction vs Avg Home Price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Raw_Data!$B$130</c:f>
              <c:strCache>
                <c:ptCount val="1"/>
                <c:pt idx="0">
                  <c:v>Total_New_Constructions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Raw_Data!$A$131:$A$136</c:f>
              <c:strCache>
                <c:ptCount val="6"/>
                <c:pt idx="0">
                  <c:v>Los Angeles</c:v>
                </c:pt>
                <c:pt idx="1">
                  <c:v>Seattle</c:v>
                </c:pt>
                <c:pt idx="2">
                  <c:v>Chicago</c:v>
                </c:pt>
                <c:pt idx="3">
                  <c:v>San Francisco</c:v>
                </c:pt>
                <c:pt idx="4">
                  <c:v>Miami</c:v>
                </c:pt>
                <c:pt idx="5">
                  <c:v>New York</c:v>
                </c:pt>
              </c:strCache>
            </c:strRef>
          </c:cat>
          <c:val>
            <c:numRef>
              <c:f>Raw_Data!$B$131:$B$136</c:f>
              <c:numCache>
                <c:formatCode>General</c:formatCode>
                <c:ptCount val="6"/>
                <c:pt idx="0">
                  <c:v>13696</c:v>
                </c:pt>
                <c:pt idx="1">
                  <c:v>12604</c:v>
                </c:pt>
                <c:pt idx="2">
                  <c:v>10736</c:v>
                </c:pt>
                <c:pt idx="3">
                  <c:v>10156</c:v>
                </c:pt>
                <c:pt idx="4">
                  <c:v>10092</c:v>
                </c:pt>
                <c:pt idx="5">
                  <c:v>7844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F-43EF-A23B-6EA1E1865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254677"/>
        <c:axId val="28006845"/>
      </c:barChart>
      <c:lineChart>
        <c:grouping val="standard"/>
        <c:varyColors val="0"/>
        <c:ser>
          <c:idx val="1"/>
          <c:order val="1"/>
          <c:tx>
            <c:strRef>
              <c:f>Raw_Data!$D$130</c:f>
              <c:strCache>
                <c:ptCount val="1"/>
                <c:pt idx="0">
                  <c:v>Average_Home_Price</c:v>
                </c:pt>
              </c:strCache>
            </c:strRef>
          </c:tx>
          <c:spPr>
            <a:ln w="47520">
              <a:solidFill>
                <a:srgbClr val="C00000"/>
              </a:solidFill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Raw_Data!$A$131:$A$136</c:f>
              <c:strCache>
                <c:ptCount val="6"/>
                <c:pt idx="0">
                  <c:v>Los Angeles</c:v>
                </c:pt>
                <c:pt idx="1">
                  <c:v>Seattle</c:v>
                </c:pt>
                <c:pt idx="2">
                  <c:v>Chicago</c:v>
                </c:pt>
                <c:pt idx="3">
                  <c:v>San Francisco</c:v>
                </c:pt>
                <c:pt idx="4">
                  <c:v>Miami</c:v>
                </c:pt>
                <c:pt idx="5">
                  <c:v>New York</c:v>
                </c:pt>
              </c:strCache>
            </c:strRef>
          </c:cat>
          <c:val>
            <c:numRef>
              <c:f>Raw_Data!$D$131:$D$136</c:f>
              <c:numCache>
                <c:formatCode>\$#,##0</c:formatCode>
                <c:ptCount val="6"/>
                <c:pt idx="0">
                  <c:v>486287.2</c:v>
                </c:pt>
                <c:pt idx="1">
                  <c:v>566786.64</c:v>
                </c:pt>
                <c:pt idx="2">
                  <c:v>721928.03</c:v>
                </c:pt>
                <c:pt idx="3">
                  <c:v>830678.07</c:v>
                </c:pt>
                <c:pt idx="4">
                  <c:v>824967.27</c:v>
                </c:pt>
                <c:pt idx="5">
                  <c:v>530707.32999999996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4F-43EF-A23B-6EA1E1865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5868298"/>
        <c:axId val="32672335"/>
      </c:lineChart>
      <c:catAx>
        <c:axId val="872546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006845"/>
        <c:crosses val="autoZero"/>
        <c:auto val="1"/>
        <c:lblAlgn val="ctr"/>
        <c:lblOffset val="100"/>
        <c:noMultiLvlLbl val="0"/>
      </c:catAx>
      <c:valAx>
        <c:axId val="280068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New Constructions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254677"/>
        <c:crosses val="autoZero"/>
        <c:crossBetween val="between"/>
      </c:valAx>
      <c:catAx>
        <c:axId val="558682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672335"/>
        <c:crosses val="autoZero"/>
        <c:auto val="1"/>
        <c:lblAlgn val="ctr"/>
        <c:lblOffset val="100"/>
        <c:noMultiLvlLbl val="0"/>
      </c:catAx>
      <c:valAx>
        <c:axId val="3267233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Home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868298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Investor Activity vs Volatility (Hotspots)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Cities</c:v>
          </c:tx>
          <c:spPr>
            <a:ln w="47520">
              <a:noFill/>
            </a:ln>
          </c:spPr>
          <c:marker>
            <c:symbol val="circle"/>
            <c:size val="10"/>
            <c:spPr>
              <a:solidFill>
                <a:srgbClr val="C55A1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Raw_Data!$B$142:$B$147</c:f>
              <c:numCache>
                <c:formatCode>General</c:formatCode>
                <c:ptCount val="6"/>
                <c:pt idx="0">
                  <c:v>3.12</c:v>
                </c:pt>
                <c:pt idx="1">
                  <c:v>3.64</c:v>
                </c:pt>
                <c:pt idx="2">
                  <c:v>5.13</c:v>
                </c:pt>
                <c:pt idx="3">
                  <c:v>4.54</c:v>
                </c:pt>
                <c:pt idx="4">
                  <c:v>4.57</c:v>
                </c:pt>
                <c:pt idx="5">
                  <c:v>5.01</c:v>
                </c:pt>
              </c:numCache>
            </c:numRef>
          </c:xVal>
          <c:yVal>
            <c:numRef>
              <c:f>Raw_Data!$C$142:$C$147</c:f>
              <c:numCache>
                <c:formatCode>General</c:formatCode>
                <c:ptCount val="6"/>
                <c:pt idx="0">
                  <c:v>2.91</c:v>
                </c:pt>
                <c:pt idx="1">
                  <c:v>2.82</c:v>
                </c:pt>
                <c:pt idx="2">
                  <c:v>2.57</c:v>
                </c:pt>
                <c:pt idx="3">
                  <c:v>2.3199999999999998</c:v>
                </c:pt>
                <c:pt idx="4">
                  <c:v>1.84</c:v>
                </c:pt>
                <c:pt idx="5">
                  <c:v>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25-407C-85DA-3066F654C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24815"/>
        <c:axId val="97474230"/>
      </c:scatterChart>
      <c:valAx>
        <c:axId val="6732481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Investor Activity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474230"/>
        <c:crosses val="autoZero"/>
        <c:crossBetween val="midCat"/>
      </c:valAx>
      <c:valAx>
        <c:axId val="97474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Volatility (Std Dev)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32481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11</xdr:col>
      <xdr:colOff>140400</xdr:colOff>
      <xdr:row>22</xdr:row>
      <xdr:rowOff>11519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6</xdr:row>
      <xdr:rowOff>0</xdr:rowOff>
    </xdr:from>
    <xdr:to>
      <xdr:col>17</xdr:col>
      <xdr:colOff>652260</xdr:colOff>
      <xdr:row>22</xdr:row>
      <xdr:rowOff>11519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18</xdr:col>
      <xdr:colOff>130680</xdr:colOff>
      <xdr:row>40</xdr:row>
      <xdr:rowOff>11520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60</xdr:row>
      <xdr:rowOff>0</xdr:rowOff>
    </xdr:from>
    <xdr:to>
      <xdr:col>9</xdr:col>
      <xdr:colOff>396240</xdr:colOff>
      <xdr:row>77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60</xdr:row>
      <xdr:rowOff>0</xdr:rowOff>
    </xdr:from>
    <xdr:to>
      <xdr:col>19</xdr:col>
      <xdr:colOff>90000</xdr:colOff>
      <xdr:row>76</xdr:row>
      <xdr:rowOff>11880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96</xdr:row>
      <xdr:rowOff>0</xdr:rowOff>
    </xdr:from>
    <xdr:to>
      <xdr:col>6</xdr:col>
      <xdr:colOff>609840</xdr:colOff>
      <xdr:row>112</xdr:row>
      <xdr:rowOff>11520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0</xdr:colOff>
      <xdr:row>96</xdr:row>
      <xdr:rowOff>0</xdr:rowOff>
    </xdr:from>
    <xdr:to>
      <xdr:col>12</xdr:col>
      <xdr:colOff>610200</xdr:colOff>
      <xdr:row>112</xdr:row>
      <xdr:rowOff>11520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13</xdr:col>
      <xdr:colOff>0</xdr:colOff>
      <xdr:row>96</xdr:row>
      <xdr:rowOff>0</xdr:rowOff>
    </xdr:from>
    <xdr:to>
      <xdr:col>20</xdr:col>
      <xdr:colOff>48600</xdr:colOff>
      <xdr:row>112</xdr:row>
      <xdr:rowOff>11520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132</xdr:row>
      <xdr:rowOff>0</xdr:rowOff>
    </xdr:from>
    <xdr:to>
      <xdr:col>9</xdr:col>
      <xdr:colOff>399960</xdr:colOff>
      <xdr:row>148</xdr:row>
      <xdr:rowOff>11880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10</xdr:col>
      <xdr:colOff>0</xdr:colOff>
      <xdr:row>132</xdr:row>
      <xdr:rowOff>0</xdr:rowOff>
    </xdr:from>
    <xdr:to>
      <xdr:col>18</xdr:col>
      <xdr:colOff>399960</xdr:colOff>
      <xdr:row>148</xdr:row>
      <xdr:rowOff>11880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</xdr:col>
      <xdr:colOff>0</xdr:colOff>
      <xdr:row>168</xdr:row>
      <xdr:rowOff>0</xdr:rowOff>
    </xdr:from>
    <xdr:to>
      <xdr:col>7</xdr:col>
      <xdr:colOff>652260</xdr:colOff>
      <xdr:row>184</xdr:row>
      <xdr:rowOff>11520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1</xdr:row>
      <xdr:rowOff>22860</xdr:rowOff>
    </xdr:from>
    <xdr:to>
      <xdr:col>9</xdr:col>
      <xdr:colOff>35520</xdr:colOff>
      <xdr:row>38</xdr:row>
      <xdr:rowOff>96300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476E34C-44A7-697B-F904-7741222EF3B0}"/>
            </a:ext>
          </a:extLst>
        </xdr:cNvPr>
        <xdr:cNvSpPr/>
      </xdr:nvSpPr>
      <xdr:spPr>
        <a:xfrm>
          <a:off x="121920" y="205740"/>
          <a:ext cx="5400000" cy="6840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/>
            <a:t>1. San Francisco: +107.8% appreciation</a:t>
          </a:r>
          <a:r>
            <a:rPr lang="en-US" b="1" baseline="0"/>
            <a:t> </a:t>
          </a:r>
          <a:r>
            <a:rPr lang="en-US" b="1"/>
            <a:t>Formula: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% Change = (2023 Price − 2019 Price) ÷ 2019 Price × 100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($874,468.71 − $420,740.15) ÷ $420,740.15 × 100= 107.8%</a:t>
          </a:r>
        </a:p>
        <a:p>
          <a:r>
            <a:rPr lang="en-US" b="1"/>
            <a:t>2. Los Angeles: −65.1% net change</a:t>
          </a:r>
          <a:r>
            <a:rPr lang="en-US" b="1" baseline="0"/>
            <a:t> </a:t>
          </a:r>
          <a:r>
            <a:rPr lang="en-US" b="1"/>
            <a:t>Formula: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% Change = (2023 Price − 2019 Price) ÷ 2019 Price × 100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($224,506.74 − $642,424.18) ÷ $642,424.18 × 100= −65.1%</a:t>
          </a:r>
          <a:endParaRPr lang="en-US"/>
        </a:p>
        <a:p>
          <a:r>
            <a:rPr lang="en-US" b="1"/>
            <a:t>3. Chicago: −63.5%</a:t>
          </a:r>
          <a:r>
            <a:rPr lang="en-US" b="1" baseline="0"/>
            <a:t> </a:t>
          </a:r>
          <a:r>
            <a:rPr lang="en-US" b="1"/>
            <a:t>Formula: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($392,108.28 − $1,073,395.11) ÷ $1,073,395.11 × 100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−63.5%</a:t>
          </a:r>
          <a:endParaRPr lang="en-US"/>
        </a:p>
        <a:p>
          <a:r>
            <a:rPr lang="en-US" b="1"/>
            <a:t>4. Seattle: −61.0%</a:t>
          </a:r>
          <a:r>
            <a:rPr lang="en-US" b="1" baseline="0"/>
            <a:t> </a:t>
          </a:r>
          <a:r>
            <a:rPr lang="en-US" b="1"/>
            <a:t>Formula: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($322,967.37 − $828,949.19) ÷ $828,949.19 × 100= −61.0%</a:t>
          </a:r>
        </a:p>
        <a:p>
          <a:r>
            <a:rPr lang="en-US" b="1"/>
            <a:t>5. Property type barely matters: 2.25% spread</a:t>
          </a:r>
        </a:p>
        <a:p>
          <a:r>
            <a:rPr lang="en-US"/>
            <a:t>Here, you're comparing the </a:t>
          </a:r>
          <a:r>
            <a:rPr lang="en-US" b="1"/>
            <a:t>highest and lowest average listing prices</a:t>
          </a:r>
          <a:r>
            <a:rPr lang="en-US"/>
            <a:t>.</a:t>
          </a:r>
        </a:p>
        <a:p>
          <a:r>
            <a:rPr lang="en-US"/>
            <a:t>Highest = Townhouse = </a:t>
          </a:r>
          <a:r>
            <a:rPr lang="en-US" b="1"/>
            <a:t>$1,057,516.95</a:t>
          </a:r>
          <a:endParaRPr lang="en-US"/>
        </a:p>
        <a:p>
          <a:r>
            <a:rPr lang="en-US"/>
            <a:t>Lowest = House = </a:t>
          </a:r>
          <a:r>
            <a:rPr lang="en-US" b="1"/>
            <a:t>$1,034,232.79</a:t>
          </a:r>
          <a:endParaRPr lang="en-US"/>
        </a:p>
        <a:p>
          <a:r>
            <a:rPr lang="en-US" b="1"/>
            <a:t>Formula: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Price Spread % = (Highest Avg Price − Lowest Avg Price) ÷ Lowest Avg Price × 100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($1,057,516.95 − $1,034,232.79) ÷ $1,034,232.79 × 100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2.25%</a:t>
          </a:r>
          <a:endParaRPr lang="en-US"/>
        </a:p>
        <a:p>
          <a:r>
            <a:rPr lang="en-US" b="1"/>
            <a:t>6. Listings are evenly distributed across cities</a:t>
          </a:r>
        </a:p>
        <a:p>
          <a:r>
            <a:rPr lang="en-US"/>
            <a:t>Your city totals are:</a:t>
          </a:r>
        </a:p>
        <a:p>
          <a:pPr lvl="0"/>
          <a:r>
            <a:rPr lang="en-US"/>
            <a:t>Chicago = 3,313 </a:t>
          </a:r>
          <a:r>
            <a:rPr lang="en-US" baseline="0"/>
            <a:t> </a:t>
          </a:r>
          <a:r>
            <a:rPr lang="en-US"/>
            <a:t>Los Angeles = 3,338 </a:t>
          </a:r>
          <a:r>
            <a:rPr lang="en-US" baseline="0"/>
            <a:t> </a:t>
          </a:r>
          <a:r>
            <a:rPr lang="en-US"/>
            <a:t>Miami = 3,404 </a:t>
          </a:r>
        </a:p>
        <a:p>
          <a:pPr lvl="0"/>
          <a:r>
            <a:rPr lang="en-US"/>
            <a:t>New York = 3,316 </a:t>
          </a:r>
          <a:r>
            <a:rPr lang="en-US" baseline="0"/>
            <a:t> </a:t>
          </a:r>
          <a:r>
            <a:rPr lang="en-US"/>
            <a:t>San Francisco = 3,247 </a:t>
          </a:r>
          <a:r>
            <a:rPr lang="en-US" baseline="0"/>
            <a:t> </a:t>
          </a:r>
          <a:r>
            <a:rPr lang="en-US"/>
            <a:t>Seattle = 3,302 </a:t>
          </a:r>
        </a:p>
        <a:p>
          <a:r>
            <a:rPr lang="en-US"/>
            <a:t>Instead of just saying </a:t>
          </a:r>
          <a:r>
            <a:rPr lang="en-US" b="1"/>
            <a:t>3,247–3,404</a:t>
          </a:r>
          <a:r>
            <a:rPr lang="en-US"/>
            <a:t>, you can calculate the percentage gap.</a:t>
          </a:r>
        </a:p>
        <a:p>
          <a:r>
            <a:rPr lang="en-US" b="1"/>
            <a:t>Formula: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% Gap = (Maximum Listings − Minimum Listings) ÷ Minimum Listings × 100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(3,404 − 3,247) ÷ 3,247 × 100= 4.84%</a:t>
          </a:r>
          <a:endParaRPr lang="en-US"/>
        </a:p>
        <a:p>
          <a:r>
            <a:rPr lang="en-US" b="1"/>
            <a:t>7. Listings are also fairly balanced by property type</a:t>
          </a:r>
        </a:p>
        <a:p>
          <a:r>
            <a:rPr lang="en-US"/>
            <a:t>From your data:</a:t>
          </a:r>
        </a:p>
        <a:p>
          <a:pPr lvl="0"/>
          <a:r>
            <a:rPr lang="en-US"/>
            <a:t>Apartment = 4,953 </a:t>
          </a:r>
        </a:p>
        <a:p>
          <a:pPr lvl="0"/>
          <a:r>
            <a:rPr lang="en-US"/>
            <a:t>Townhouse = 4,845 </a:t>
          </a:r>
        </a:p>
        <a:p>
          <a:pPr lvl="0"/>
          <a:r>
            <a:rPr lang="en-US"/>
            <a:t>House = 4,837 </a:t>
          </a:r>
        </a:p>
        <a:p>
          <a:pPr lvl="0"/>
          <a:r>
            <a:rPr lang="en-US"/>
            <a:t>Condo = 4,765 </a:t>
          </a:r>
        </a:p>
        <a:p>
          <a:pPr lvl="0"/>
          <a:r>
            <a:rPr lang="en-US"/>
            <a:t>Other = 588 </a:t>
          </a:r>
        </a:p>
        <a:p>
          <a:r>
            <a:rPr lang="en-US"/>
            <a:t>If you </a:t>
          </a:r>
          <a:r>
            <a:rPr lang="en-US" b="1"/>
            <a:t>exclude "Other"</a:t>
          </a:r>
          <a:r>
            <a:rPr lang="en-US"/>
            <a:t>, because it is a much smaller category, the range is: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4,953 − 4,765 = 188 listings</a:t>
          </a:r>
          <a:endParaRPr lang="en-US"/>
        </a:p>
        <a:p>
          <a:r>
            <a:rPr lang="en-US"/>
            <a:t>Percentage gap: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188 ÷ 4,765 × 100 = 3.94%</a:t>
          </a:r>
          <a:endParaRPr lang="en-US"/>
        </a:p>
        <a:p>
          <a:endParaRPr lang="en-US"/>
        </a:p>
      </xdr:txBody>
    </xdr:sp>
    <xdr:clientData/>
  </xdr:twoCellAnchor>
  <xdr:twoCellAnchor>
    <xdr:from>
      <xdr:col>9</xdr:col>
      <xdr:colOff>220980</xdr:colOff>
      <xdr:row>1</xdr:row>
      <xdr:rowOff>38100</xdr:rowOff>
    </xdr:from>
    <xdr:to>
      <xdr:col>18</xdr:col>
      <xdr:colOff>134580</xdr:colOff>
      <xdr:row>38</xdr:row>
      <xdr:rowOff>111540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B589E9F-78F3-AFD4-65DF-F3931B8597D6}"/>
            </a:ext>
          </a:extLst>
        </xdr:cNvPr>
        <xdr:cNvSpPr/>
      </xdr:nvSpPr>
      <xdr:spPr>
        <a:xfrm>
          <a:off x="5707380" y="220980"/>
          <a:ext cx="5400000" cy="6840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/>
            <a:t>1. San Francisco tops demand metrics</a:t>
          </a:r>
        </a:p>
        <a:p>
          <a:r>
            <a:rPr lang="en-US" b="1"/>
            <a:t>Demand Index:</a:t>
          </a:r>
          <a:r>
            <a:rPr lang="en-US"/>
            <a:t> </a:t>
          </a:r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162.35</a:t>
          </a:r>
          <a:br>
            <a:rPr lang="en-US"/>
          </a:br>
          <a:r>
            <a:rPr lang="en-US" b="1"/>
            <a:t>Average Price:</a:t>
          </a:r>
          <a:r>
            <a:rPr lang="en-US"/>
            <a:t> </a:t>
          </a:r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$830,678</a:t>
          </a:r>
          <a:br>
            <a:rPr lang="en-US"/>
          </a:br>
          <a:r>
            <a:rPr lang="en-US" b="1"/>
            <a:t>Monthly Rent:</a:t>
          </a:r>
          <a:r>
            <a:rPr lang="en-US"/>
            <a:t> </a:t>
          </a:r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$3,934</a:t>
          </a:r>
          <a:endParaRPr lang="en-US"/>
        </a:p>
        <a:p>
          <a:r>
            <a:rPr lang="en-US"/>
            <a:t>These are </a:t>
          </a:r>
          <a:r>
            <a:rPr lang="en-US" b="1"/>
            <a:t>directly taken from the city-level data</a:t>
          </a:r>
          <a:r>
            <a:rPr lang="en-US"/>
            <a:t>.</a:t>
          </a:r>
        </a:p>
        <a:p>
          <a:r>
            <a:rPr lang="en-US" b="1"/>
            <a:t>2. New York: lowest demand index — 98.63</a:t>
          </a:r>
        </a:p>
        <a:p>
          <a:r>
            <a:rPr lang="en-US" b="1"/>
            <a:t>Formula not required.</a:t>
          </a:r>
          <a:endParaRPr lang="en-US"/>
        </a:p>
        <a:p>
          <a:r>
            <a:rPr lang="en-US"/>
            <a:t>Simply compare the six Demand Index values: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MIN(Demand Index) = 98.63</a:t>
          </a:r>
          <a:endParaRPr lang="en-US"/>
        </a:p>
        <a:p>
          <a:r>
            <a:rPr lang="en-US" b="1"/>
            <a:t>3. All income brackets are "Seriously Unaffordable"</a:t>
          </a:r>
        </a:p>
        <a:p>
          <a:r>
            <a:rPr lang="en-US"/>
            <a:t>The calculation is:</a:t>
          </a:r>
        </a:p>
        <a:p>
          <a:r>
            <a:rPr lang="en-US" b="1"/>
            <a:t>Price-to-Income Ratio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Average Home Price ÷ Annual Household Income</a:t>
          </a:r>
          <a:endParaRPr lang="en-US"/>
        </a:p>
        <a:p>
          <a:r>
            <a:rPr lang="en-US"/>
            <a:t>Your four ratios are:</a:t>
          </a:r>
        </a:p>
        <a:p>
          <a:pPr lvl="0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&lt; $50K</a:t>
          </a:r>
          <a:r>
            <a:rPr lang="en-US"/>
            <a:t> → </a:t>
          </a:r>
          <a:r>
            <a:rPr lang="en-US" b="1"/>
            <a:t>5.54</a:t>
          </a:r>
          <a:r>
            <a:rPr lang="en-US"/>
            <a:t> </a:t>
          </a:r>
        </a:p>
        <a:p>
          <a:pPr lvl="0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$50K–$100K</a:t>
          </a:r>
          <a:r>
            <a:rPr lang="en-US"/>
            <a:t> → </a:t>
          </a:r>
          <a:r>
            <a:rPr lang="en-US" b="1"/>
            <a:t>6.05</a:t>
          </a:r>
          <a:r>
            <a:rPr lang="en-US"/>
            <a:t> </a:t>
          </a:r>
        </a:p>
        <a:p>
          <a:pPr lvl="0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$100K–$150K</a:t>
          </a:r>
          <a:r>
            <a:rPr lang="en-US"/>
            <a:t> → </a:t>
          </a:r>
          <a:r>
            <a:rPr lang="en-US" b="1"/>
            <a:t>6.48</a:t>
          </a:r>
          <a:r>
            <a:rPr lang="en-US"/>
            <a:t> </a:t>
          </a:r>
        </a:p>
        <a:p>
          <a:pPr lvl="0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$150K+</a:t>
          </a:r>
          <a:r>
            <a:rPr lang="en-US"/>
            <a:t> → </a:t>
          </a:r>
          <a:r>
            <a:rPr lang="en-US" b="1"/>
            <a:t>5.87</a:t>
          </a:r>
        </a:p>
        <a:p>
          <a:r>
            <a:rPr lang="en-US" b="1"/>
            <a:t>4. $100K–$150K shows more stress — 6.48 vs 5.87</a:t>
          </a:r>
        </a:p>
        <a:p>
          <a:r>
            <a:rPr lang="en-US"/>
            <a:t>No complicated formula is needed.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6.48 &gt; 5.87</a:t>
          </a:r>
          <a:endParaRPr lang="en-US"/>
        </a:p>
        <a:p>
          <a:r>
            <a:rPr lang="en-US"/>
            <a:t>Difference: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6.48 − 5.87 = 0.61</a:t>
          </a:r>
          <a:endParaRPr lang="en-US"/>
        </a:p>
        <a:p>
          <a:r>
            <a:rPr lang="en-US"/>
            <a:t>Percentage difference: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(6.48 − 5.87) ÷ 5.87 × 100= 10.39%</a:t>
          </a:r>
          <a:endParaRPr lang="en-US"/>
        </a:p>
        <a:p>
          <a:r>
            <a:rPr lang="en-US" b="1"/>
            <a:t>5. Miami: least favorable price-to-rent ratio — 25.8x</a:t>
          </a:r>
        </a:p>
        <a:p>
          <a:r>
            <a:rPr lang="en-US" b="1"/>
            <a:t>Formula: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Price-to-Rent Ratio = Home Price ÷ (Monthly Rent × 12)</a:t>
          </a:r>
          <a:endParaRPr lang="en-US"/>
        </a:p>
        <a:p>
          <a:r>
            <a:rPr lang="en-US"/>
            <a:t>For Miami: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$824,967 ÷ ($2,660 × 12)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$824,967 ÷ $31,920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25.84≈ 25.8x</a:t>
          </a:r>
          <a:endParaRPr lang="en-US"/>
        </a:p>
        <a:p>
          <a:r>
            <a:rPr lang="en-US" b="1"/>
            <a:t>6. Seattle: most favorable price-to-rent ratio — 13.0x</a:t>
          </a:r>
        </a:p>
        <a:p>
          <a:r>
            <a:rPr lang="en-US" b="1"/>
            <a:t>Formula: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$566,787 ÷ ($3,638 × 12)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$566,787 ÷ $43,656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12.99≈ 13.0x</a:t>
          </a:r>
          <a:endParaRPr lang="en-US"/>
        </a:p>
      </xdr:txBody>
    </xdr:sp>
    <xdr:clientData/>
  </xdr:twoCellAnchor>
  <xdr:twoCellAnchor>
    <xdr:from>
      <xdr:col>0</xdr:col>
      <xdr:colOff>175260</xdr:colOff>
      <xdr:row>40</xdr:row>
      <xdr:rowOff>160020</xdr:rowOff>
    </xdr:from>
    <xdr:to>
      <xdr:col>9</xdr:col>
      <xdr:colOff>88860</xdr:colOff>
      <xdr:row>78</xdr:row>
      <xdr:rowOff>50580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CEB2FCE-D98E-EEC9-FEF3-37C9B5F22CEF}"/>
            </a:ext>
          </a:extLst>
        </xdr:cNvPr>
        <xdr:cNvSpPr/>
      </xdr:nvSpPr>
      <xdr:spPr>
        <a:xfrm>
          <a:off x="175260" y="7475220"/>
          <a:ext cx="5400000" cy="6840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/>
            <a:t>1. Construction peaked in 2020 and fell ~59% by 2023</a:t>
          </a:r>
        </a:p>
        <a:p>
          <a:r>
            <a:rPr lang="en-US" b="1"/>
            <a:t>Formula: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% Change = (2023 Construction − 2020 Construction) ÷ 2020 Construction × 100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(8,980 − 21,844) ÷ 21,844 × 100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−58.9% ≈ −59%</a:t>
          </a:r>
          <a:endParaRPr lang="en-US"/>
        </a:p>
        <a:p>
          <a:r>
            <a:rPr lang="en-US" b="1"/>
            <a:t>2. Construction stabilized after 2020</a:t>
          </a:r>
        </a:p>
        <a:p>
          <a:r>
            <a:rPr lang="en-US"/>
            <a:t>2021 → </a:t>
          </a:r>
          <a:r>
            <a:rPr lang="en-US" b="1"/>
            <a:t>10,016</a:t>
          </a:r>
          <a:br>
            <a:rPr lang="en-US"/>
          </a:br>
          <a:r>
            <a:rPr lang="en-US"/>
            <a:t>2022 → </a:t>
          </a:r>
          <a:r>
            <a:rPr lang="en-US" b="1"/>
            <a:t>8,772</a:t>
          </a:r>
          <a:br>
            <a:rPr lang="en-US"/>
          </a:br>
          <a:r>
            <a:rPr lang="en-US"/>
            <a:t>2023 → </a:t>
          </a:r>
          <a:r>
            <a:rPr lang="en-US" b="1"/>
            <a:t>8,980</a:t>
          </a:r>
          <a:endParaRPr lang="en-US"/>
        </a:p>
        <a:p>
          <a:r>
            <a:rPr lang="en-US" b="1"/>
            <a:t>Formula: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Range = MAX − MIN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10,016 − 8,772 = 1,244 units</a:t>
          </a:r>
          <a:endParaRPr lang="en-US"/>
        </a:p>
        <a:p>
          <a:r>
            <a:rPr lang="en-US"/>
            <a:t>Percentage range relative to the minimum: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1,244 ÷ 8,772 × 100 = 14.2%</a:t>
          </a:r>
          <a:endParaRPr lang="en-US"/>
        </a:p>
        <a:p>
          <a:r>
            <a:rPr lang="en-US" b="1"/>
            <a:t>3. Los Angeles builds the most, New York the least</a:t>
          </a:r>
        </a:p>
        <a:p>
          <a:r>
            <a:rPr lang="en-US" b="1"/>
            <a:t>Formula: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Maximum Construction = MAX(city construction)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13,696 units → Los Angeles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Minimum Construction = MIN(city construction)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7,844 units → New York</a:t>
          </a:r>
          <a:endParaRPr lang="en-US"/>
        </a:p>
        <a:p>
          <a:r>
            <a:rPr lang="en-US"/>
            <a:t>You can also calculate the gap: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13,696 − 7,844 = 5,852 units</a:t>
          </a:r>
          <a:endParaRPr lang="en-US"/>
        </a:p>
        <a:p>
          <a:r>
            <a:rPr lang="en-US"/>
            <a:t>Percentage difference relative to New York: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5,852 ÷ 7,844 × 100 = 74.6%</a:t>
          </a:r>
        </a:p>
        <a:p>
          <a:r>
            <a:rPr lang="en-US" b="1"/>
            <a:t>4. LA has the highest price volatility despite leading construction</a:t>
          </a:r>
        </a:p>
        <a:p>
          <a:r>
            <a:rPr lang="en-US" b="1"/>
            <a:t>LA: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Maximum Price = $1,138,869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Minimum Price = $210,937</a:t>
          </a:r>
          <a:endParaRPr lang="en-US"/>
        </a:p>
        <a:p>
          <a:r>
            <a:rPr lang="en-US" b="1"/>
            <a:t>Price Range: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$1,138,869 − $210,937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$927,932</a:t>
          </a:r>
          <a:endParaRPr lang="en-US"/>
        </a:p>
        <a:p>
          <a:r>
            <a:rPr lang="en-US"/>
            <a:t>You can express the range relative to the minimum: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$927,932 ÷ $210,937 × 100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≈ 440%</a:t>
          </a:r>
          <a:endParaRPr lang="en-US"/>
        </a:p>
        <a:p>
          <a:endParaRPr lang="en-US"/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266700</xdr:colOff>
      <xdr:row>40</xdr:row>
      <xdr:rowOff>152400</xdr:rowOff>
    </xdr:from>
    <xdr:to>
      <xdr:col>18</xdr:col>
      <xdr:colOff>180300</xdr:colOff>
      <xdr:row>78</xdr:row>
      <xdr:rowOff>42960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9062B6D-DEA9-EF32-8D88-204309C4F8A6}"/>
            </a:ext>
          </a:extLst>
        </xdr:cNvPr>
        <xdr:cNvSpPr/>
      </xdr:nvSpPr>
      <xdr:spPr>
        <a:xfrm>
          <a:off x="5753100" y="7467600"/>
          <a:ext cx="5400000" cy="6840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/>
            <a:t>1. Investor activity: 3.35 → 4.90 → 4.13</a:t>
          </a:r>
        </a:p>
        <a:p>
          <a:r>
            <a:rPr lang="en-US"/>
            <a:t>The yearly values are:</a:t>
          </a:r>
        </a:p>
        <a:p>
          <a:pPr lvl="0"/>
          <a:r>
            <a:rPr lang="en-US"/>
            <a:t>2019 = </a:t>
          </a:r>
          <a:r>
            <a:rPr lang="en-US" b="1"/>
            <a:t>3.35</a:t>
          </a:r>
          <a:r>
            <a:rPr lang="en-US"/>
            <a:t> 2020 = </a:t>
          </a:r>
          <a:r>
            <a:rPr lang="en-US" b="1"/>
            <a:t>4.57</a:t>
          </a:r>
          <a:r>
            <a:rPr lang="en-US"/>
            <a:t> 2021 = </a:t>
          </a:r>
          <a:r>
            <a:rPr lang="en-US" b="1"/>
            <a:t>4.90</a:t>
          </a:r>
          <a:r>
            <a:rPr lang="en-US"/>
            <a:t> 2022 = </a:t>
          </a:r>
          <a:r>
            <a:rPr lang="en-US" b="1"/>
            <a:t>4.75</a:t>
          </a:r>
          <a:r>
            <a:rPr lang="en-US"/>
            <a:t> 2023 = </a:t>
          </a:r>
          <a:r>
            <a:rPr lang="en-US" b="1"/>
            <a:t>4.13</a:t>
          </a:r>
          <a:r>
            <a:rPr lang="en-US"/>
            <a:t> 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Peak Activity = MAX(3.35, 4.57, 4.90, 4.75, 4.13)</a:t>
          </a:r>
          <a:r>
            <a:rPr lang="en-US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4.90 → 2021</a:t>
          </a:r>
          <a:endParaRPr lang="en-US"/>
        </a:p>
        <a:p>
          <a:r>
            <a:rPr lang="en-US"/>
            <a:t>If you want to show how much activity increased from 2019 to the 2021 peak: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% Increase = (4.90 − 3.35) ÷ 3.35 × 100</a:t>
          </a:r>
          <a:r>
            <a:rPr lang="en-US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46.27%</a:t>
          </a:r>
          <a:endParaRPr lang="en-US"/>
        </a:p>
        <a:p>
          <a:r>
            <a:rPr lang="en-US"/>
            <a:t>Then, from the 2021 peak to 2023: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% Change = (4.13 − 4.90) ÷ 4.90 × 100</a:t>
          </a:r>
          <a:r>
            <a:rPr lang="en-US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= −15.71%</a:t>
          </a:r>
        </a:p>
        <a:p>
          <a:r>
            <a:rPr lang="en-US" b="1"/>
            <a:t>2. Chicago: 5.01 activity + 1.70 volatility</a:t>
          </a:r>
        </a:p>
        <a:p>
          <a:r>
            <a:rPr lang="en-US"/>
            <a:t>No complicated calculation is required.</a:t>
          </a:r>
        </a:p>
        <a:p>
          <a:r>
            <a:rPr lang="en-US" b="1"/>
            <a:t>Activity:</a:t>
          </a:r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MAX(Activity) = 5.01 → Chicago</a:t>
          </a:r>
          <a:endParaRPr lang="en-US"/>
        </a:p>
        <a:p>
          <a:r>
            <a:rPr lang="en-US" b="1"/>
            <a:t>Volatility:</a:t>
          </a:r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MIN(Volatility) = 1.70 → Chicago</a:t>
          </a:r>
          <a:endParaRPr lang="en-US"/>
        </a:p>
        <a:p>
          <a:r>
            <a:rPr lang="en-US"/>
            <a:t>So Chicago combines:</a:t>
          </a:r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Highest Activity + Lowest Volatility</a:t>
          </a:r>
        </a:p>
        <a:p>
          <a:r>
            <a:rPr lang="en-US" b="1"/>
            <a:t>3. New York: 3.12 activity + 2.91 volatility</a:t>
          </a:r>
        </a:p>
        <a:p>
          <a:r>
            <a:rPr lang="en-US"/>
            <a:t>Again, use </a:t>
          </a:r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MIN()</a:t>
          </a:r>
          <a:r>
            <a:rPr lang="en-US"/>
            <a:t> and </a:t>
          </a:r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MAX()</a:t>
          </a:r>
          <a:r>
            <a:rPr lang="en-US"/>
            <a:t>.</a:t>
          </a:r>
        </a:p>
        <a:p>
          <a:r>
            <a:rPr lang="en-US" b="1"/>
            <a:t>Activity: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MIN(Activity) = 3.12 → New York</a:t>
          </a:r>
          <a:endParaRPr lang="en-US"/>
        </a:p>
        <a:p>
          <a:r>
            <a:rPr lang="en-US" b="1"/>
            <a:t>Volatility: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MAX(Volatility) = 2.91 → New York</a:t>
          </a:r>
          <a:endParaRPr lang="en-US"/>
        </a:p>
        <a:p>
          <a:r>
            <a:rPr lang="en-US"/>
            <a:t>So:</a:t>
          </a:r>
          <a:r>
            <a:rPr lang="en-US" baseline="0"/>
            <a:t> </a:t>
          </a:r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Lowest Activity + Highest Volatility</a:t>
          </a:r>
          <a:endParaRPr lang="en-US"/>
        </a:p>
        <a:p>
          <a:r>
            <a:rPr lang="en-US" b="1"/>
            <a:t>4. An even better way to explain the Chicago vs New York comparison</a:t>
          </a:r>
        </a:p>
        <a:p>
          <a:r>
            <a:rPr lang="en-US"/>
            <a:t>You can quantify the difference:</a:t>
          </a:r>
        </a:p>
        <a:p>
          <a:r>
            <a:rPr lang="en-US" b="1"/>
            <a:t>Activity difference: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5.01 − 3.12 = 1.89</a:t>
          </a:r>
          <a:endParaRPr lang="en-US"/>
        </a:p>
        <a:p>
          <a:r>
            <a:rPr lang="en-US"/>
            <a:t>Percentage difference relative to New York: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1.89 ÷ 3.12 × 100 = 60.6%</a:t>
          </a:r>
          <a:endParaRPr lang="en-US"/>
        </a:p>
        <a:p>
          <a:r>
            <a:rPr lang="en-US"/>
            <a:t>So Chicago's activity score is approximately </a:t>
          </a:r>
          <a:r>
            <a:rPr lang="en-US" b="1"/>
            <a:t>60.6% higher</a:t>
          </a:r>
          <a:r>
            <a:rPr lang="en-US"/>
            <a:t> than New York's.</a:t>
          </a:r>
        </a:p>
        <a:p>
          <a:r>
            <a:rPr lang="en-US" b="1"/>
            <a:t>Volatility difference:</a:t>
          </a:r>
          <a:endParaRPr lang="en-US"/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2.91 − 1.70 = 1.21</a:t>
          </a:r>
          <a:endParaRPr lang="en-US"/>
        </a:p>
        <a:p>
          <a:r>
            <a:rPr lang="en-US"/>
            <a:t>Percentage difference relative to Chicago: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1.21 ÷ 1.70 × 100 = 71.2%</a:t>
          </a:r>
          <a:endParaRPr lang="en-US"/>
        </a:p>
        <a:p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endParaRPr lang="en-US"/>
        </a:p>
        <a:p>
          <a:endParaRPr lang="en-US"/>
        </a:p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8</xdr:col>
      <xdr:colOff>24120</xdr:colOff>
      <xdr:row>26</xdr:row>
      <xdr:rowOff>2205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9</xdr:row>
      <xdr:rowOff>0</xdr:rowOff>
    </xdr:from>
    <xdr:to>
      <xdr:col>14</xdr:col>
      <xdr:colOff>527400</xdr:colOff>
      <xdr:row>26</xdr:row>
      <xdr:rowOff>2205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114300</xdr:colOff>
      <xdr:row>25</xdr:row>
      <xdr:rowOff>133350</xdr:rowOff>
    </xdr:from>
    <xdr:to>
      <xdr:col>7</xdr:col>
      <xdr:colOff>1024245</xdr:colOff>
      <xdr:row>42</xdr:row>
      <xdr:rowOff>135555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27</xdr:row>
      <xdr:rowOff>0</xdr:rowOff>
    </xdr:from>
    <xdr:to>
      <xdr:col>14</xdr:col>
      <xdr:colOff>527400</xdr:colOff>
      <xdr:row>44</xdr:row>
      <xdr:rowOff>2205</xdr:rowOff>
    </xdr:to>
    <xdr:graphicFrame macro="">
      <xdr:nvGraphicFramePr>
        <xdr:cNvPr id="14" name="Chart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45</xdr:row>
      <xdr:rowOff>0</xdr:rowOff>
    </xdr:from>
    <xdr:to>
      <xdr:col>5</xdr:col>
      <xdr:colOff>527400</xdr:colOff>
      <xdr:row>62</xdr:row>
      <xdr:rowOff>2205</xdr:rowOff>
    </xdr:to>
    <xdr:graphicFrame macro="">
      <xdr:nvGraphicFramePr>
        <xdr:cNvPr id="15" name="Chart 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45</xdr:row>
      <xdr:rowOff>0</xdr:rowOff>
    </xdr:from>
    <xdr:to>
      <xdr:col>14</xdr:col>
      <xdr:colOff>527400</xdr:colOff>
      <xdr:row>62</xdr:row>
      <xdr:rowOff>2205</xdr:rowOff>
    </xdr:to>
    <xdr:graphicFrame macro="">
      <xdr:nvGraphicFramePr>
        <xdr:cNvPr id="16" name="Chart 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63</xdr:row>
      <xdr:rowOff>0</xdr:rowOff>
    </xdr:from>
    <xdr:to>
      <xdr:col>5</xdr:col>
      <xdr:colOff>527400</xdr:colOff>
      <xdr:row>80</xdr:row>
      <xdr:rowOff>2205</xdr:rowOff>
    </xdr:to>
    <xdr:graphicFrame macro="">
      <xdr:nvGraphicFramePr>
        <xdr:cNvPr id="17" name="Chart 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63</xdr:row>
      <xdr:rowOff>0</xdr:rowOff>
    </xdr:from>
    <xdr:to>
      <xdr:col>14</xdr:col>
      <xdr:colOff>527400</xdr:colOff>
      <xdr:row>80</xdr:row>
      <xdr:rowOff>2205</xdr:rowOff>
    </xdr:to>
    <xdr:graphicFrame macro="">
      <xdr:nvGraphicFramePr>
        <xdr:cNvPr id="18" name="Chart 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81</xdr:row>
      <xdr:rowOff>0</xdr:rowOff>
    </xdr:from>
    <xdr:to>
      <xdr:col>5</xdr:col>
      <xdr:colOff>527400</xdr:colOff>
      <xdr:row>98</xdr:row>
      <xdr:rowOff>2205</xdr:rowOff>
    </xdr:to>
    <xdr:graphicFrame macro="">
      <xdr:nvGraphicFramePr>
        <xdr:cNvPr id="19" name="Chart 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10</xdr:col>
      <xdr:colOff>0</xdr:colOff>
      <xdr:row>81</xdr:row>
      <xdr:rowOff>0</xdr:rowOff>
    </xdr:from>
    <xdr:to>
      <xdr:col>14</xdr:col>
      <xdr:colOff>527400</xdr:colOff>
      <xdr:row>98</xdr:row>
      <xdr:rowOff>2205</xdr:rowOff>
    </xdr:to>
    <xdr:graphicFrame macro="">
      <xdr:nvGraphicFramePr>
        <xdr:cNvPr id="20" name="Chart 1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</xdr:col>
      <xdr:colOff>0</xdr:colOff>
      <xdr:row>99</xdr:row>
      <xdr:rowOff>0</xdr:rowOff>
    </xdr:from>
    <xdr:to>
      <xdr:col>5</xdr:col>
      <xdr:colOff>527400</xdr:colOff>
      <xdr:row>116</xdr:row>
      <xdr:rowOff>2205</xdr:rowOff>
    </xdr:to>
    <xdr:graphicFrame macro="">
      <xdr:nvGraphicFramePr>
        <xdr:cNvPr id="21" name="Chart 1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Affordability" displayName="tbl_Affordability" ref="A112:D116" totalsRowShown="0">
  <autoFilter ref="A112:D116" xr:uid="{00000000-0009-0000-0100-000001000000}"/>
  <tableColumns count="4">
    <tableColumn id="1" xr3:uid="{00000000-0010-0000-0000-000001000000}" name="Income_Bracket"/>
    <tableColumn id="2" xr3:uid="{00000000-0010-0000-0000-000002000000}" name="Average_Ratio"/>
    <tableColumn id="3" xr3:uid="{00000000-0010-0000-0000-000003000000}" name="Affordability_Stress"/>
    <tableColumn id="4" xr3:uid="{00000000-0010-0000-0000-000004000000}" name="Stress_Rank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onstructionVsPrice" displayName="tbl_ConstructionVsPrice" ref="A130:D136" totalsRowShown="0">
  <autoFilter ref="A130:D136" xr:uid="{00000000-0009-0000-0100-000002000000}"/>
  <tableColumns count="4">
    <tableColumn id="1" xr3:uid="{00000000-0010-0000-0100-000001000000}" name="City"/>
    <tableColumn id="2" xr3:uid="{00000000-0010-0000-0100-000002000000}" name="Total_New_Constructions"/>
    <tableColumn id="3" xr3:uid="{00000000-0010-0000-0100-000003000000}" name="Average_Housing_Demand"/>
    <tableColumn id="4" xr3:uid="{00000000-0010-0000-0100-000004000000}" name="Average_Home_Pric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DemandVsPrice" displayName="tbl_DemandVsPrice" ref="A70:D76" totalsRowShown="0">
  <autoFilter ref="A70:D76" xr:uid="{00000000-0009-0000-0100-000003000000}"/>
  <tableColumns count="4">
    <tableColumn id="1" xr3:uid="{00000000-0010-0000-0200-000001000000}" name="City"/>
    <tableColumn id="2" xr3:uid="{00000000-0010-0000-0200-000002000000}" name="Average_Housing_Demand_Index"/>
    <tableColumn id="3" xr3:uid="{00000000-0010-0000-0200-000003000000}" name="Average_Home_Price"/>
    <tableColumn id="4" xr3:uid="{00000000-0010-0000-0200-000004000000}" name="Average_Rent_Pric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InterestRate" displayName="tbl_InterestRate" ref="A121:C123" totalsRowShown="0">
  <autoFilter ref="A121:C123" xr:uid="{00000000-0009-0000-0100-000004000000}"/>
  <tableColumns count="3">
    <tableColumn id="1" xr3:uid="{00000000-0010-0000-0300-000001000000}" name="Interest_Rate_Band"/>
    <tableColumn id="2" xr3:uid="{00000000-0010-0000-0300-000002000000}" name="Total_Records"/>
    <tableColumn id="3" xr3:uid="{00000000-0010-0000-0300-000003000000}" name="Average_Home_Pric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InvestorTrend" displayName="tbl_InvestorTrend" ref="A102:C107" totalsRowShown="0">
  <autoFilter ref="A102:C107" xr:uid="{00000000-0009-0000-0100-000005000000}"/>
  <tableColumns count="3">
    <tableColumn id="1" xr3:uid="{00000000-0010-0000-0400-000001000000}" name="Year"/>
    <tableColumn id="2" xr3:uid="{00000000-0010-0000-0400-000002000000}" name="Average_Investor_Activity"/>
    <tableColumn id="3" xr3:uid="{00000000-0010-0000-0400-000003000000}" name="YoY_Chang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InvestorVolatility" displayName="tbl_InvestorVolatility" ref="A141:D147" totalsRowShown="0">
  <autoFilter ref="A141:D147" xr:uid="{00000000-0009-0000-0100-000006000000}"/>
  <tableColumns count="4">
    <tableColumn id="1" xr3:uid="{00000000-0010-0000-0500-000001000000}" name="City"/>
    <tableColumn id="2" xr3:uid="{00000000-0010-0000-0500-000002000000}" name="Average_Investor_Activity"/>
    <tableColumn id="3" xr3:uid="{00000000-0010-0000-0500-000003000000}" name="Investor_Activity_Volatility"/>
    <tableColumn id="4" xr3:uid="{00000000-0010-0000-0500-000004000000}" name="Volatility_Rank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KPIMissing" displayName="tbl_KPIMissing" ref="A160:C161" totalsRowShown="0">
  <autoFilter ref="A160:C161" xr:uid="{00000000-0009-0000-0100-000007000000}"/>
  <tableColumns count="3">
    <tableColumn id="1" xr3:uid="{00000000-0010-0000-0600-000001000000}" name="Pct_Missing_Listing_Price"/>
    <tableColumn id="2" xr3:uid="{00000000-0010-0000-0600-000002000000}" name="Pct_Missing_Property_Type"/>
    <tableColumn id="3" xr3:uid="{00000000-0010-0000-0600-000003000000}" name="Pct_Missing_Size_SqF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KPIRecords" displayName="tbl_KPIRecords" ref="A152:B155" totalsRowShown="0">
  <autoFilter ref="A152:B155" xr:uid="{00000000-0009-0000-0100-000008000000}"/>
  <tableColumns count="2">
    <tableColumn id="1" xr3:uid="{00000000-0010-0000-0700-000001000000}" name="Table_Name"/>
    <tableColumn id="2" xr3:uid="{00000000-0010-0000-0700-000002000000}" name="Total_Record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ListingsPivot" displayName="tbl_ListingsPivot" ref="A59:F65" totalsRowShown="0">
  <autoFilter ref="A59:F65" xr:uid="{00000000-0009-0000-0100-000009000000}"/>
  <tableColumns count="6">
    <tableColumn id="1" xr3:uid="{00000000-0010-0000-0800-000001000000}" name="City"/>
    <tableColumn id="2" xr3:uid="{00000000-0010-0000-0800-000002000000}" name="Apartment"/>
    <tableColumn id="3" xr3:uid="{00000000-0010-0000-0800-000003000000}" name="Condo"/>
    <tableColumn id="4" xr3:uid="{00000000-0010-0000-0800-000004000000}" name="House"/>
    <tableColumn id="5" xr3:uid="{00000000-0010-0000-0800-000005000000}" name="Townhouse"/>
    <tableColumn id="6" xr3:uid="{00000000-0010-0000-0800-000006000000}" name="Other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PriceByType" displayName="tbl_PriceByType" ref="A49:E54" totalsRowShown="0">
  <autoFilter ref="A49:E54" xr:uid="{00000000-0009-0000-0100-00000A000000}"/>
  <tableColumns count="5">
    <tableColumn id="1" xr3:uid="{00000000-0010-0000-0900-000001000000}" name="Property_Type"/>
    <tableColumn id="2" xr3:uid="{00000000-0010-0000-0900-000002000000}" name="Total_Listings"/>
    <tableColumn id="3" xr3:uid="{00000000-0010-0000-0900-000003000000}" name="Average_Listing_Price"/>
    <tableColumn id="4" xr3:uid="{00000000-0010-0000-0900-000004000000}" name="Minimum_Listing_Price"/>
    <tableColumn id="5" xr3:uid="{00000000-0010-0000-0900-000005000000}" name="Maximum_Listing_Pric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PriceTrendLong" displayName="tbl_PriceTrendLong" ref="A14:C44" totalsRowShown="0">
  <autoFilter ref="A14:C44" xr:uid="{00000000-0009-0000-0100-00000B000000}"/>
  <tableColumns count="3">
    <tableColumn id="1" xr3:uid="{00000000-0010-0000-0A00-000001000000}" name="City"/>
    <tableColumn id="2" xr3:uid="{00000000-0010-0000-0A00-000002000000}" name="Year"/>
    <tableColumn id="3" xr3:uid="{00000000-0010-0000-0A00-000003000000}" name="Average_Listing_Pric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PriceTrendPivot" displayName="tbl_PriceTrendPivot" ref="A4:G9" totalsRowShown="0">
  <autoFilter ref="A4:G9" xr:uid="{00000000-0009-0000-0100-00000C000000}"/>
  <tableColumns count="7">
    <tableColumn id="1" xr3:uid="{00000000-0010-0000-0B00-000001000000}" name="Year"/>
    <tableColumn id="2" xr3:uid="{00000000-0010-0000-0B00-000002000000}" name="Chicago"/>
    <tableColumn id="3" xr3:uid="{00000000-0010-0000-0B00-000003000000}" name="Los Angeles"/>
    <tableColumn id="4" xr3:uid="{00000000-0010-0000-0B00-000004000000}" name="Miami"/>
    <tableColumn id="5" xr3:uid="{00000000-0010-0000-0B00-000005000000}" name="New York"/>
    <tableColumn id="6" xr3:uid="{00000000-0010-0000-0B00-000006000000}" name="San Francisco"/>
    <tableColumn id="7" xr3:uid="{00000000-0010-0000-0B00-000007000000}" name="Seattle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SupplyByCity" displayName="tbl_SupplyByCity" ref="A91:B97" totalsRowShown="0">
  <autoFilter ref="A91:B97" xr:uid="{00000000-0009-0000-0100-00000D000000}"/>
  <tableColumns count="2">
    <tableColumn id="1" xr3:uid="{00000000-0010-0000-0C00-000001000000}" name="City"/>
    <tableColumn id="2" xr3:uid="{00000000-0010-0000-0C00-000002000000}" name="Total_New_Constructions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SupplyByYear" displayName="tbl_SupplyByYear" ref="A81:B86" totalsRowShown="0">
  <autoFilter ref="A81:B86" xr:uid="{00000000-0009-0000-0100-00000E000000}"/>
  <tableColumns count="2">
    <tableColumn id="1" xr3:uid="{00000000-0010-0000-0D00-000001000000}" name="Year"/>
    <tableColumn id="2" xr3:uid="{00000000-0010-0000-0D00-000002000000}" name="Total_New_Construction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00"/>
  <sheetViews>
    <sheetView showGridLines="0" zoomScale="91" zoomScaleNormal="100" workbookViewId="0">
      <pane xSplit="1" ySplit="3" topLeftCell="B4" activePane="bottomRight" state="frozen"/>
      <selection pane="topRight"/>
      <selection pane="bottomLeft"/>
      <selection pane="bottomRight" activeCell="U22" sqref="U22"/>
    </sheetView>
  </sheetViews>
  <sheetFormatPr defaultColWidth="8.6640625" defaultRowHeight="14.4" x14ac:dyDescent="0.3"/>
  <cols>
    <col min="1" max="1" width="2.44140625" customWidth="1"/>
    <col min="2" max="19" width="9.5546875" customWidth="1"/>
  </cols>
  <sheetData>
    <row r="2" spans="2:19" ht="21.75" customHeight="1" x14ac:dyDescent="0.3">
      <c r="B2" s="15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2:19" ht="21.75" customHeight="1" x14ac:dyDescent="0.3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5" spans="2:19" ht="25.5" customHeight="1" x14ac:dyDescent="0.3">
      <c r="B5" s="16" t="s">
        <v>1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43" spans="2:19" ht="15" customHeight="1" x14ac:dyDescent="0.3">
      <c r="B43" s="17" t="s">
        <v>85</v>
      </c>
      <c r="C43" s="17"/>
      <c r="D43" s="17"/>
      <c r="E43" s="17"/>
      <c r="F43" s="17"/>
      <c r="G43" s="17"/>
      <c r="H43" s="17"/>
      <c r="I43" s="17"/>
      <c r="K43" s="9" t="s">
        <v>2</v>
      </c>
      <c r="L43" s="9"/>
      <c r="M43" s="9"/>
      <c r="N43" s="9"/>
      <c r="O43" s="9"/>
      <c r="P43" s="9"/>
      <c r="Q43" s="9"/>
      <c r="R43" s="9"/>
      <c r="S43" s="9"/>
    </row>
    <row r="44" spans="2:19" x14ac:dyDescent="0.3">
      <c r="B44" s="17"/>
      <c r="C44" s="17"/>
      <c r="D44" s="17"/>
      <c r="E44" s="17"/>
      <c r="F44" s="17"/>
      <c r="G44" s="17"/>
      <c r="H44" s="17"/>
      <c r="I44" s="17"/>
      <c r="K44" s="9"/>
      <c r="L44" s="9"/>
      <c r="M44" s="9"/>
      <c r="N44" s="9"/>
      <c r="O44" s="9"/>
      <c r="P44" s="9"/>
      <c r="Q44" s="9"/>
      <c r="R44" s="9"/>
      <c r="S44" s="9"/>
    </row>
    <row r="45" spans="2:19" x14ac:dyDescent="0.3">
      <c r="B45" s="17"/>
      <c r="C45" s="17"/>
      <c r="D45" s="17"/>
      <c r="E45" s="17"/>
      <c r="F45" s="17"/>
      <c r="G45" s="17"/>
      <c r="H45" s="17"/>
      <c r="I45" s="17"/>
      <c r="K45" s="9"/>
      <c r="L45" s="9"/>
      <c r="M45" s="9"/>
      <c r="N45" s="9"/>
      <c r="O45" s="9"/>
      <c r="P45" s="9"/>
      <c r="Q45" s="9"/>
      <c r="R45" s="9"/>
      <c r="S45" s="9"/>
    </row>
    <row r="46" spans="2:19" x14ac:dyDescent="0.3">
      <c r="B46" s="17"/>
      <c r="C46" s="17"/>
      <c r="D46" s="17"/>
      <c r="E46" s="17"/>
      <c r="F46" s="17"/>
      <c r="G46" s="17"/>
      <c r="H46" s="17"/>
      <c r="I46" s="17"/>
      <c r="K46" s="9"/>
      <c r="L46" s="9"/>
      <c r="M46" s="9"/>
      <c r="N46" s="9"/>
      <c r="O46" s="9"/>
      <c r="P46" s="9"/>
      <c r="Q46" s="9"/>
      <c r="R46" s="9"/>
      <c r="S46" s="9"/>
    </row>
    <row r="47" spans="2:19" x14ac:dyDescent="0.3">
      <c r="B47" s="17"/>
      <c r="C47" s="17"/>
      <c r="D47" s="17"/>
      <c r="E47" s="17"/>
      <c r="F47" s="17"/>
      <c r="G47" s="17"/>
      <c r="H47" s="17"/>
      <c r="I47" s="17"/>
      <c r="K47" s="9"/>
      <c r="L47" s="9"/>
      <c r="M47" s="9"/>
      <c r="N47" s="9"/>
      <c r="O47" s="9"/>
      <c r="P47" s="9"/>
      <c r="Q47" s="9"/>
      <c r="R47" s="9"/>
      <c r="S47" s="9"/>
    </row>
    <row r="48" spans="2:19" x14ac:dyDescent="0.3">
      <c r="B48" s="17"/>
      <c r="C48" s="17"/>
      <c r="D48" s="17"/>
      <c r="E48" s="17"/>
      <c r="F48" s="17"/>
      <c r="G48" s="17"/>
      <c r="H48" s="17"/>
      <c r="I48" s="17"/>
      <c r="K48" s="9"/>
      <c r="L48" s="9"/>
      <c r="M48" s="9"/>
      <c r="N48" s="9"/>
      <c r="O48" s="9"/>
      <c r="P48" s="9"/>
      <c r="Q48" s="9"/>
      <c r="R48" s="9"/>
      <c r="S48" s="9"/>
    </row>
    <row r="49" spans="2:19" x14ac:dyDescent="0.3">
      <c r="B49" s="17"/>
      <c r="C49" s="17"/>
      <c r="D49" s="17"/>
      <c r="E49" s="17"/>
      <c r="F49" s="17"/>
      <c r="G49" s="17"/>
      <c r="H49" s="17"/>
      <c r="I49" s="17"/>
      <c r="K49" s="9"/>
      <c r="L49" s="9"/>
      <c r="M49" s="9"/>
      <c r="N49" s="9"/>
      <c r="O49" s="9"/>
      <c r="P49" s="9"/>
      <c r="Q49" s="9"/>
      <c r="R49" s="9"/>
      <c r="S49" s="9"/>
    </row>
    <row r="50" spans="2:19" ht="15" customHeight="1" x14ac:dyDescent="0.3">
      <c r="B50" s="17"/>
      <c r="C50" s="17"/>
      <c r="D50" s="17"/>
      <c r="E50" s="17"/>
      <c r="F50" s="17"/>
      <c r="G50" s="17"/>
      <c r="H50" s="17"/>
      <c r="I50" s="17"/>
      <c r="K50" s="8" t="s">
        <v>3</v>
      </c>
      <c r="L50" s="8"/>
      <c r="M50" s="8"/>
      <c r="N50" s="8"/>
      <c r="O50" s="8"/>
      <c r="P50" s="8"/>
      <c r="Q50" s="8"/>
      <c r="R50" s="8"/>
      <c r="S50" s="8"/>
    </row>
    <row r="51" spans="2:19" x14ac:dyDescent="0.3">
      <c r="B51" s="17"/>
      <c r="C51" s="17"/>
      <c r="D51" s="17"/>
      <c r="E51" s="17"/>
      <c r="F51" s="17"/>
      <c r="G51" s="17"/>
      <c r="H51" s="17"/>
      <c r="I51" s="17"/>
      <c r="K51" s="8"/>
      <c r="L51" s="8"/>
      <c r="M51" s="8"/>
      <c r="N51" s="8"/>
      <c r="O51" s="8"/>
      <c r="P51" s="8"/>
      <c r="Q51" s="8"/>
      <c r="R51" s="8"/>
      <c r="S51" s="8"/>
    </row>
    <row r="52" spans="2:19" x14ac:dyDescent="0.3">
      <c r="B52" s="17"/>
      <c r="C52" s="17"/>
      <c r="D52" s="17"/>
      <c r="E52" s="17"/>
      <c r="F52" s="17"/>
      <c r="G52" s="17"/>
      <c r="H52" s="17"/>
      <c r="I52" s="17"/>
      <c r="K52" s="8"/>
      <c r="L52" s="8"/>
      <c r="M52" s="8"/>
      <c r="N52" s="8"/>
      <c r="O52" s="8"/>
      <c r="P52" s="8"/>
      <c r="Q52" s="8"/>
      <c r="R52" s="8"/>
      <c r="S52" s="8"/>
    </row>
    <row r="53" spans="2:19" x14ac:dyDescent="0.3">
      <c r="B53" s="17"/>
      <c r="C53" s="17"/>
      <c r="D53" s="17"/>
      <c r="E53" s="17"/>
      <c r="F53" s="17"/>
      <c r="G53" s="17"/>
      <c r="H53" s="17"/>
      <c r="I53" s="17"/>
      <c r="K53" s="8"/>
      <c r="L53" s="8"/>
      <c r="M53" s="8"/>
      <c r="N53" s="8"/>
      <c r="O53" s="8"/>
      <c r="P53" s="8"/>
      <c r="Q53" s="8"/>
      <c r="R53" s="8"/>
      <c r="S53" s="8"/>
    </row>
    <row r="54" spans="2:19" x14ac:dyDescent="0.3">
      <c r="B54" s="17"/>
      <c r="C54" s="17"/>
      <c r="D54" s="17"/>
      <c r="E54" s="17"/>
      <c r="F54" s="17"/>
      <c r="G54" s="17"/>
      <c r="H54" s="17"/>
      <c r="I54" s="17"/>
      <c r="K54" s="8"/>
      <c r="L54" s="8"/>
      <c r="M54" s="8"/>
      <c r="N54" s="8"/>
      <c r="O54" s="8"/>
      <c r="P54" s="8"/>
      <c r="Q54" s="8"/>
      <c r="R54" s="8"/>
      <c r="S54" s="8"/>
    </row>
    <row r="55" spans="2:19" x14ac:dyDescent="0.3">
      <c r="B55" s="17"/>
      <c r="C55" s="17"/>
      <c r="D55" s="17"/>
      <c r="E55" s="17"/>
      <c r="F55" s="17"/>
      <c r="G55" s="17"/>
      <c r="H55" s="17"/>
      <c r="I55" s="17"/>
      <c r="K55" s="8"/>
      <c r="L55" s="8"/>
      <c r="M55" s="8"/>
      <c r="N55" s="8"/>
      <c r="O55" s="8"/>
      <c r="P55" s="8"/>
      <c r="Q55" s="8"/>
      <c r="R55" s="8"/>
      <c r="S55" s="8"/>
    </row>
    <row r="56" spans="2:19" x14ac:dyDescent="0.3">
      <c r="B56" s="17"/>
      <c r="C56" s="17"/>
      <c r="D56" s="17"/>
      <c r="E56" s="17"/>
      <c r="F56" s="17"/>
      <c r="G56" s="17"/>
      <c r="H56" s="17"/>
      <c r="I56" s="17"/>
      <c r="K56" s="8"/>
      <c r="L56" s="8"/>
      <c r="M56" s="8"/>
      <c r="N56" s="8"/>
      <c r="O56" s="8"/>
      <c r="P56" s="8"/>
      <c r="Q56" s="8"/>
      <c r="R56" s="8"/>
      <c r="S56" s="8"/>
    </row>
    <row r="59" spans="2:19" ht="25.5" customHeight="1" x14ac:dyDescent="0.3">
      <c r="B59" s="12" t="s">
        <v>4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79" spans="2:19" ht="15" customHeight="1" x14ac:dyDescent="0.3">
      <c r="B79" s="13" t="s">
        <v>84</v>
      </c>
      <c r="C79" s="13"/>
      <c r="D79" s="13"/>
      <c r="E79" s="13"/>
      <c r="F79" s="13"/>
      <c r="G79" s="13"/>
      <c r="H79" s="13"/>
      <c r="I79" s="13"/>
      <c r="K79" s="9" t="s">
        <v>5</v>
      </c>
      <c r="L79" s="9"/>
      <c r="M79" s="9"/>
      <c r="N79" s="9"/>
      <c r="O79" s="9"/>
      <c r="P79" s="9"/>
      <c r="Q79" s="9"/>
      <c r="R79" s="9"/>
      <c r="S79" s="9"/>
    </row>
    <row r="80" spans="2:19" x14ac:dyDescent="0.3">
      <c r="B80" s="13"/>
      <c r="C80" s="13"/>
      <c r="D80" s="13"/>
      <c r="E80" s="13"/>
      <c r="F80" s="13"/>
      <c r="G80" s="13"/>
      <c r="H80" s="13"/>
      <c r="I80" s="13"/>
      <c r="K80" s="9"/>
      <c r="L80" s="9"/>
      <c r="M80" s="9"/>
      <c r="N80" s="9"/>
      <c r="O80" s="9"/>
      <c r="P80" s="9"/>
      <c r="Q80" s="9"/>
      <c r="R80" s="9"/>
      <c r="S80" s="9"/>
    </row>
    <row r="81" spans="2:19" x14ac:dyDescent="0.3">
      <c r="B81" s="13"/>
      <c r="C81" s="13"/>
      <c r="D81" s="13"/>
      <c r="E81" s="13"/>
      <c r="F81" s="13"/>
      <c r="G81" s="13"/>
      <c r="H81" s="13"/>
      <c r="I81" s="13"/>
      <c r="K81" s="9"/>
      <c r="L81" s="9"/>
      <c r="M81" s="9"/>
      <c r="N81" s="9"/>
      <c r="O81" s="9"/>
      <c r="P81" s="9"/>
      <c r="Q81" s="9"/>
      <c r="R81" s="9"/>
      <c r="S81" s="9"/>
    </row>
    <row r="82" spans="2:19" x14ac:dyDescent="0.3">
      <c r="B82" s="13"/>
      <c r="C82" s="13"/>
      <c r="D82" s="13"/>
      <c r="E82" s="13"/>
      <c r="F82" s="13"/>
      <c r="G82" s="13"/>
      <c r="H82" s="13"/>
      <c r="I82" s="13"/>
      <c r="K82" s="9"/>
      <c r="L82" s="9"/>
      <c r="M82" s="9"/>
      <c r="N82" s="9"/>
      <c r="O82" s="9"/>
      <c r="P82" s="9"/>
      <c r="Q82" s="9"/>
      <c r="R82" s="9"/>
      <c r="S82" s="9"/>
    </row>
    <row r="83" spans="2:19" x14ac:dyDescent="0.3">
      <c r="B83" s="13"/>
      <c r="C83" s="13"/>
      <c r="D83" s="13"/>
      <c r="E83" s="13"/>
      <c r="F83" s="13"/>
      <c r="G83" s="13"/>
      <c r="H83" s="13"/>
      <c r="I83" s="13"/>
      <c r="K83" s="9"/>
      <c r="L83" s="9"/>
      <c r="M83" s="9"/>
      <c r="N83" s="9"/>
      <c r="O83" s="9"/>
      <c r="P83" s="9"/>
      <c r="Q83" s="9"/>
      <c r="R83" s="9"/>
      <c r="S83" s="9"/>
    </row>
    <row r="84" spans="2:19" x14ac:dyDescent="0.3">
      <c r="B84" s="13"/>
      <c r="C84" s="13"/>
      <c r="D84" s="13"/>
      <c r="E84" s="13"/>
      <c r="F84" s="13"/>
      <c r="G84" s="13"/>
      <c r="H84" s="13"/>
      <c r="I84" s="13"/>
      <c r="K84" s="9"/>
      <c r="L84" s="9"/>
      <c r="M84" s="9"/>
      <c r="N84" s="9"/>
      <c r="O84" s="9"/>
      <c r="P84" s="9"/>
      <c r="Q84" s="9"/>
      <c r="R84" s="9"/>
      <c r="S84" s="9"/>
    </row>
    <row r="85" spans="2:19" x14ac:dyDescent="0.3">
      <c r="B85" s="13"/>
      <c r="C85" s="13"/>
      <c r="D85" s="13"/>
      <c r="E85" s="13"/>
      <c r="F85" s="13"/>
      <c r="G85" s="13"/>
      <c r="H85" s="13"/>
      <c r="I85" s="13"/>
      <c r="K85" s="9"/>
      <c r="L85" s="9"/>
      <c r="M85" s="9"/>
      <c r="N85" s="9"/>
      <c r="O85" s="9"/>
      <c r="P85" s="9"/>
      <c r="Q85" s="9"/>
      <c r="R85" s="9"/>
      <c r="S85" s="9"/>
    </row>
    <row r="86" spans="2:19" ht="15" customHeight="1" x14ac:dyDescent="0.3">
      <c r="B86" s="13"/>
      <c r="C86" s="13"/>
      <c r="D86" s="13"/>
      <c r="E86" s="13"/>
      <c r="F86" s="13"/>
      <c r="G86" s="13"/>
      <c r="H86" s="13"/>
      <c r="I86" s="13"/>
      <c r="K86" s="8" t="s">
        <v>6</v>
      </c>
      <c r="L86" s="8"/>
      <c r="M86" s="8"/>
      <c r="N86" s="8"/>
      <c r="O86" s="8"/>
      <c r="P86" s="8"/>
      <c r="Q86" s="8"/>
      <c r="R86" s="8"/>
      <c r="S86" s="8"/>
    </row>
    <row r="87" spans="2:19" x14ac:dyDescent="0.3">
      <c r="B87" s="13"/>
      <c r="C87" s="13"/>
      <c r="D87" s="13"/>
      <c r="E87" s="13"/>
      <c r="F87" s="13"/>
      <c r="G87" s="13"/>
      <c r="H87" s="13"/>
      <c r="I87" s="13"/>
      <c r="K87" s="8"/>
      <c r="L87" s="8"/>
      <c r="M87" s="8"/>
      <c r="N87" s="8"/>
      <c r="O87" s="8"/>
      <c r="P87" s="8"/>
      <c r="Q87" s="8"/>
      <c r="R87" s="8"/>
      <c r="S87" s="8"/>
    </row>
    <row r="88" spans="2:19" x14ac:dyDescent="0.3">
      <c r="B88" s="13"/>
      <c r="C88" s="13"/>
      <c r="D88" s="13"/>
      <c r="E88" s="13"/>
      <c r="F88" s="13"/>
      <c r="G88" s="13"/>
      <c r="H88" s="13"/>
      <c r="I88" s="13"/>
      <c r="K88" s="8"/>
      <c r="L88" s="8"/>
      <c r="M88" s="8"/>
      <c r="N88" s="8"/>
      <c r="O88" s="8"/>
      <c r="P88" s="8"/>
      <c r="Q88" s="8"/>
      <c r="R88" s="8"/>
      <c r="S88" s="8"/>
    </row>
    <row r="89" spans="2:19" x14ac:dyDescent="0.3">
      <c r="B89" s="13"/>
      <c r="C89" s="13"/>
      <c r="D89" s="13"/>
      <c r="E89" s="13"/>
      <c r="F89" s="13"/>
      <c r="G89" s="13"/>
      <c r="H89" s="13"/>
      <c r="I89" s="13"/>
      <c r="K89" s="8"/>
      <c r="L89" s="8"/>
      <c r="M89" s="8"/>
      <c r="N89" s="8"/>
      <c r="O89" s="8"/>
      <c r="P89" s="8"/>
      <c r="Q89" s="8"/>
      <c r="R89" s="8"/>
      <c r="S89" s="8"/>
    </row>
    <row r="90" spans="2:19" x14ac:dyDescent="0.3">
      <c r="B90" s="13"/>
      <c r="C90" s="13"/>
      <c r="D90" s="13"/>
      <c r="E90" s="13"/>
      <c r="F90" s="13"/>
      <c r="G90" s="13"/>
      <c r="H90" s="13"/>
      <c r="I90" s="13"/>
      <c r="K90" s="8"/>
      <c r="L90" s="8"/>
      <c r="M90" s="8"/>
      <c r="N90" s="8"/>
      <c r="O90" s="8"/>
      <c r="P90" s="8"/>
      <c r="Q90" s="8"/>
      <c r="R90" s="8"/>
      <c r="S90" s="8"/>
    </row>
    <row r="91" spans="2:19" x14ac:dyDescent="0.3">
      <c r="B91" s="13"/>
      <c r="C91" s="13"/>
      <c r="D91" s="13"/>
      <c r="E91" s="13"/>
      <c r="F91" s="13"/>
      <c r="G91" s="13"/>
      <c r="H91" s="13"/>
      <c r="I91" s="13"/>
      <c r="K91" s="8"/>
      <c r="L91" s="8"/>
      <c r="M91" s="8"/>
      <c r="N91" s="8"/>
      <c r="O91" s="8"/>
      <c r="P91" s="8"/>
      <c r="Q91" s="8"/>
      <c r="R91" s="8"/>
      <c r="S91" s="8"/>
    </row>
    <row r="92" spans="2:19" x14ac:dyDescent="0.3">
      <c r="B92" s="13"/>
      <c r="C92" s="13"/>
      <c r="D92" s="13"/>
      <c r="E92" s="13"/>
      <c r="F92" s="13"/>
      <c r="G92" s="13"/>
      <c r="H92" s="13"/>
      <c r="I92" s="13"/>
      <c r="K92" s="8"/>
      <c r="L92" s="8"/>
      <c r="M92" s="8"/>
      <c r="N92" s="8"/>
      <c r="O92" s="8"/>
      <c r="P92" s="8"/>
      <c r="Q92" s="8"/>
      <c r="R92" s="8"/>
      <c r="S92" s="8"/>
    </row>
    <row r="95" spans="2:19" ht="25.5" customHeight="1" x14ac:dyDescent="0.3">
      <c r="B95" s="14" t="s">
        <v>7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115" spans="2:19" ht="15" customHeight="1" x14ac:dyDescent="0.3">
      <c r="B115" s="8" t="s">
        <v>86</v>
      </c>
      <c r="C115" s="8"/>
      <c r="D115" s="8"/>
      <c r="E115" s="8"/>
      <c r="F115" s="8"/>
      <c r="G115" s="8"/>
      <c r="H115" s="8"/>
      <c r="I115" s="8"/>
      <c r="K115" s="9" t="s">
        <v>8</v>
      </c>
      <c r="L115" s="9"/>
      <c r="M115" s="9"/>
      <c r="N115" s="9"/>
      <c r="O115" s="9"/>
      <c r="P115" s="9"/>
      <c r="Q115" s="9"/>
      <c r="R115" s="9"/>
      <c r="S115" s="9"/>
    </row>
    <row r="116" spans="2:19" x14ac:dyDescent="0.3">
      <c r="B116" s="8"/>
      <c r="C116" s="8"/>
      <c r="D116" s="8"/>
      <c r="E116" s="8"/>
      <c r="F116" s="8"/>
      <c r="G116" s="8"/>
      <c r="H116" s="8"/>
      <c r="I116" s="8"/>
      <c r="K116" s="9"/>
      <c r="L116" s="9"/>
      <c r="M116" s="9"/>
      <c r="N116" s="9"/>
      <c r="O116" s="9"/>
      <c r="P116" s="9"/>
      <c r="Q116" s="9"/>
      <c r="R116" s="9"/>
      <c r="S116" s="9"/>
    </row>
    <row r="117" spans="2:19" x14ac:dyDescent="0.3">
      <c r="B117" s="8"/>
      <c r="C117" s="8"/>
      <c r="D117" s="8"/>
      <c r="E117" s="8"/>
      <c r="F117" s="8"/>
      <c r="G117" s="8"/>
      <c r="H117" s="8"/>
      <c r="I117" s="8"/>
      <c r="K117" s="9"/>
      <c r="L117" s="9"/>
      <c r="M117" s="9"/>
      <c r="N117" s="9"/>
      <c r="O117" s="9"/>
      <c r="P117" s="9"/>
      <c r="Q117" s="9"/>
      <c r="R117" s="9"/>
      <c r="S117" s="9"/>
    </row>
    <row r="118" spans="2:19" x14ac:dyDescent="0.3">
      <c r="B118" s="8"/>
      <c r="C118" s="8"/>
      <c r="D118" s="8"/>
      <c r="E118" s="8"/>
      <c r="F118" s="8"/>
      <c r="G118" s="8"/>
      <c r="H118" s="8"/>
      <c r="I118" s="8"/>
      <c r="K118" s="9"/>
      <c r="L118" s="9"/>
      <c r="M118" s="9"/>
      <c r="N118" s="9"/>
      <c r="O118" s="9"/>
      <c r="P118" s="9"/>
      <c r="Q118" s="9"/>
      <c r="R118" s="9"/>
      <c r="S118" s="9"/>
    </row>
    <row r="119" spans="2:19" x14ac:dyDescent="0.3">
      <c r="B119" s="8"/>
      <c r="C119" s="8"/>
      <c r="D119" s="8"/>
      <c r="E119" s="8"/>
      <c r="F119" s="8"/>
      <c r="G119" s="8"/>
      <c r="H119" s="8"/>
      <c r="I119" s="8"/>
      <c r="K119" s="9"/>
      <c r="L119" s="9"/>
      <c r="M119" s="9"/>
      <c r="N119" s="9"/>
      <c r="O119" s="9"/>
      <c r="P119" s="9"/>
      <c r="Q119" s="9"/>
      <c r="R119" s="9"/>
      <c r="S119" s="9"/>
    </row>
    <row r="120" spans="2:19" x14ac:dyDescent="0.3">
      <c r="B120" s="8"/>
      <c r="C120" s="8"/>
      <c r="D120" s="8"/>
      <c r="E120" s="8"/>
      <c r="F120" s="8"/>
      <c r="G120" s="8"/>
      <c r="H120" s="8"/>
      <c r="I120" s="8"/>
      <c r="K120" s="9"/>
      <c r="L120" s="9"/>
      <c r="M120" s="9"/>
      <c r="N120" s="9"/>
      <c r="O120" s="9"/>
      <c r="P120" s="9"/>
      <c r="Q120" s="9"/>
      <c r="R120" s="9"/>
      <c r="S120" s="9"/>
    </row>
    <row r="121" spans="2:19" x14ac:dyDescent="0.3">
      <c r="B121" s="8"/>
      <c r="C121" s="8"/>
      <c r="D121" s="8"/>
      <c r="E121" s="8"/>
      <c r="F121" s="8"/>
      <c r="G121" s="8"/>
      <c r="H121" s="8"/>
      <c r="I121" s="8"/>
      <c r="K121" s="9"/>
      <c r="L121" s="9"/>
      <c r="M121" s="9"/>
      <c r="N121" s="9"/>
      <c r="O121" s="9"/>
      <c r="P121" s="9"/>
      <c r="Q121" s="9"/>
      <c r="R121" s="9"/>
      <c r="S121" s="9"/>
    </row>
    <row r="122" spans="2:19" ht="15" customHeight="1" x14ac:dyDescent="0.3">
      <c r="B122" s="8"/>
      <c r="C122" s="8"/>
      <c r="D122" s="8"/>
      <c r="E122" s="8"/>
      <c r="F122" s="8"/>
      <c r="G122" s="8"/>
      <c r="H122" s="8"/>
      <c r="I122" s="8"/>
      <c r="K122" s="8" t="s">
        <v>9</v>
      </c>
      <c r="L122" s="8"/>
      <c r="M122" s="8"/>
      <c r="N122" s="8"/>
      <c r="O122" s="8"/>
      <c r="P122" s="8"/>
      <c r="Q122" s="8"/>
      <c r="R122" s="8"/>
      <c r="S122" s="8"/>
    </row>
    <row r="123" spans="2:19" x14ac:dyDescent="0.3">
      <c r="B123" s="8"/>
      <c r="C123" s="8"/>
      <c r="D123" s="8"/>
      <c r="E123" s="8"/>
      <c r="F123" s="8"/>
      <c r="G123" s="8"/>
      <c r="H123" s="8"/>
      <c r="I123" s="8"/>
      <c r="K123" s="8"/>
      <c r="L123" s="8"/>
      <c r="M123" s="8"/>
      <c r="N123" s="8"/>
      <c r="O123" s="8"/>
      <c r="P123" s="8"/>
      <c r="Q123" s="8"/>
      <c r="R123" s="8"/>
      <c r="S123" s="8"/>
    </row>
    <row r="124" spans="2:19" x14ac:dyDescent="0.3">
      <c r="B124" s="8"/>
      <c r="C124" s="8"/>
      <c r="D124" s="8"/>
      <c r="E124" s="8"/>
      <c r="F124" s="8"/>
      <c r="G124" s="8"/>
      <c r="H124" s="8"/>
      <c r="I124" s="8"/>
      <c r="K124" s="8"/>
      <c r="L124" s="8"/>
      <c r="M124" s="8"/>
      <c r="N124" s="8"/>
      <c r="O124" s="8"/>
      <c r="P124" s="8"/>
      <c r="Q124" s="8"/>
      <c r="R124" s="8"/>
      <c r="S124" s="8"/>
    </row>
    <row r="125" spans="2:19" x14ac:dyDescent="0.3">
      <c r="B125" s="8"/>
      <c r="C125" s="8"/>
      <c r="D125" s="8"/>
      <c r="E125" s="8"/>
      <c r="F125" s="8"/>
      <c r="G125" s="8"/>
      <c r="H125" s="8"/>
      <c r="I125" s="8"/>
      <c r="K125" s="8"/>
      <c r="L125" s="8"/>
      <c r="M125" s="8"/>
      <c r="N125" s="8"/>
      <c r="O125" s="8"/>
      <c r="P125" s="8"/>
      <c r="Q125" s="8"/>
      <c r="R125" s="8"/>
      <c r="S125" s="8"/>
    </row>
    <row r="126" spans="2:19" x14ac:dyDescent="0.3">
      <c r="B126" s="8"/>
      <c r="C126" s="8"/>
      <c r="D126" s="8"/>
      <c r="E126" s="8"/>
      <c r="F126" s="8"/>
      <c r="G126" s="8"/>
      <c r="H126" s="8"/>
      <c r="I126" s="8"/>
      <c r="K126" s="8"/>
      <c r="L126" s="8"/>
      <c r="M126" s="8"/>
      <c r="N126" s="8"/>
      <c r="O126" s="8"/>
      <c r="P126" s="8"/>
      <c r="Q126" s="8"/>
      <c r="R126" s="8"/>
      <c r="S126" s="8"/>
    </row>
    <row r="127" spans="2:19" x14ac:dyDescent="0.3">
      <c r="B127" s="8"/>
      <c r="C127" s="8"/>
      <c r="D127" s="8"/>
      <c r="E127" s="8"/>
      <c r="F127" s="8"/>
      <c r="G127" s="8"/>
      <c r="H127" s="8"/>
      <c r="I127" s="8"/>
      <c r="K127" s="8"/>
      <c r="L127" s="8"/>
      <c r="M127" s="8"/>
      <c r="N127" s="8"/>
      <c r="O127" s="8"/>
      <c r="P127" s="8"/>
      <c r="Q127" s="8"/>
      <c r="R127" s="8"/>
      <c r="S127" s="8"/>
    </row>
    <row r="128" spans="2:19" x14ac:dyDescent="0.3">
      <c r="B128" s="8"/>
      <c r="C128" s="8"/>
      <c r="D128" s="8"/>
      <c r="E128" s="8"/>
      <c r="F128" s="8"/>
      <c r="G128" s="8"/>
      <c r="H128" s="8"/>
      <c r="I128" s="8"/>
      <c r="K128" s="8"/>
      <c r="L128" s="8"/>
      <c r="M128" s="8"/>
      <c r="N128" s="8"/>
      <c r="O128" s="8"/>
      <c r="P128" s="8"/>
      <c r="Q128" s="8"/>
      <c r="R128" s="8"/>
      <c r="S128" s="8"/>
    </row>
    <row r="131" spans="2:19" ht="25.5" customHeight="1" x14ac:dyDescent="0.3">
      <c r="B131" s="10" t="s">
        <v>10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51" spans="2:19" ht="15" customHeight="1" x14ac:dyDescent="0.3">
      <c r="B151" s="11" t="s">
        <v>87</v>
      </c>
      <c r="C151" s="11"/>
      <c r="D151" s="11"/>
      <c r="E151" s="11"/>
      <c r="F151" s="11"/>
      <c r="G151" s="11"/>
      <c r="H151" s="11"/>
      <c r="I151" s="11"/>
      <c r="K151" s="9" t="s">
        <v>11</v>
      </c>
      <c r="L151" s="9"/>
      <c r="M151" s="9"/>
      <c r="N151" s="9"/>
      <c r="O151" s="9"/>
      <c r="P151" s="9"/>
      <c r="Q151" s="9"/>
      <c r="R151" s="9"/>
      <c r="S151" s="9"/>
    </row>
    <row r="152" spans="2:19" x14ac:dyDescent="0.3">
      <c r="B152" s="11"/>
      <c r="C152" s="11"/>
      <c r="D152" s="11"/>
      <c r="E152" s="11"/>
      <c r="F152" s="11"/>
      <c r="G152" s="11"/>
      <c r="H152" s="11"/>
      <c r="I152" s="11"/>
      <c r="K152" s="9"/>
      <c r="L152" s="9"/>
      <c r="M152" s="9"/>
      <c r="N152" s="9"/>
      <c r="O152" s="9"/>
      <c r="P152" s="9"/>
      <c r="Q152" s="9"/>
      <c r="R152" s="9"/>
      <c r="S152" s="9"/>
    </row>
    <row r="153" spans="2:19" x14ac:dyDescent="0.3">
      <c r="B153" s="11"/>
      <c r="C153" s="11"/>
      <c r="D153" s="11"/>
      <c r="E153" s="11"/>
      <c r="F153" s="11"/>
      <c r="G153" s="11"/>
      <c r="H153" s="11"/>
      <c r="I153" s="11"/>
      <c r="K153" s="9"/>
      <c r="L153" s="9"/>
      <c r="M153" s="9"/>
      <c r="N153" s="9"/>
      <c r="O153" s="9"/>
      <c r="P153" s="9"/>
      <c r="Q153" s="9"/>
      <c r="R153" s="9"/>
      <c r="S153" s="9"/>
    </row>
    <row r="154" spans="2:19" x14ac:dyDescent="0.3">
      <c r="B154" s="11"/>
      <c r="C154" s="11"/>
      <c r="D154" s="11"/>
      <c r="E154" s="11"/>
      <c r="F154" s="11"/>
      <c r="G154" s="11"/>
      <c r="H154" s="11"/>
      <c r="I154" s="11"/>
      <c r="K154" s="9"/>
      <c r="L154" s="9"/>
      <c r="M154" s="9"/>
      <c r="N154" s="9"/>
      <c r="O154" s="9"/>
      <c r="P154" s="9"/>
      <c r="Q154" s="9"/>
      <c r="R154" s="9"/>
      <c r="S154" s="9"/>
    </row>
    <row r="155" spans="2:19" x14ac:dyDescent="0.3">
      <c r="B155" s="11"/>
      <c r="C155" s="11"/>
      <c r="D155" s="11"/>
      <c r="E155" s="11"/>
      <c r="F155" s="11"/>
      <c r="G155" s="11"/>
      <c r="H155" s="11"/>
      <c r="I155" s="11"/>
      <c r="K155" s="9"/>
      <c r="L155" s="9"/>
      <c r="M155" s="9"/>
      <c r="N155" s="9"/>
      <c r="O155" s="9"/>
      <c r="P155" s="9"/>
      <c r="Q155" s="9"/>
      <c r="R155" s="9"/>
      <c r="S155" s="9"/>
    </row>
    <row r="156" spans="2:19" x14ac:dyDescent="0.3">
      <c r="B156" s="11"/>
      <c r="C156" s="11"/>
      <c r="D156" s="11"/>
      <c r="E156" s="11"/>
      <c r="F156" s="11"/>
      <c r="G156" s="11"/>
      <c r="H156" s="11"/>
      <c r="I156" s="11"/>
      <c r="K156" s="9"/>
      <c r="L156" s="9"/>
      <c r="M156" s="9"/>
      <c r="N156" s="9"/>
      <c r="O156" s="9"/>
      <c r="P156" s="9"/>
      <c r="Q156" s="9"/>
      <c r="R156" s="9"/>
      <c r="S156" s="9"/>
    </row>
    <row r="157" spans="2:19" x14ac:dyDescent="0.3">
      <c r="B157" s="11"/>
      <c r="C157" s="11"/>
      <c r="D157" s="11"/>
      <c r="E157" s="11"/>
      <c r="F157" s="11"/>
      <c r="G157" s="11"/>
      <c r="H157" s="11"/>
      <c r="I157" s="11"/>
      <c r="K157" s="9"/>
      <c r="L157" s="9"/>
      <c r="M157" s="9"/>
      <c r="N157" s="9"/>
      <c r="O157" s="9"/>
      <c r="P157" s="9"/>
      <c r="Q157" s="9"/>
      <c r="R157" s="9"/>
      <c r="S157" s="9"/>
    </row>
    <row r="158" spans="2:19" ht="15" customHeight="1" x14ac:dyDescent="0.3">
      <c r="B158" s="11"/>
      <c r="C158" s="11"/>
      <c r="D158" s="11"/>
      <c r="E158" s="11"/>
      <c r="F158" s="11"/>
      <c r="G158" s="11"/>
      <c r="H158" s="11"/>
      <c r="I158" s="11"/>
      <c r="K158" s="8" t="s">
        <v>12</v>
      </c>
      <c r="L158" s="8"/>
      <c r="M158" s="8"/>
      <c r="N158" s="8"/>
      <c r="O158" s="8"/>
      <c r="P158" s="8"/>
      <c r="Q158" s="8"/>
      <c r="R158" s="8"/>
      <c r="S158" s="8"/>
    </row>
    <row r="159" spans="2:19" x14ac:dyDescent="0.3">
      <c r="B159" s="11"/>
      <c r="C159" s="11"/>
      <c r="D159" s="11"/>
      <c r="E159" s="11"/>
      <c r="F159" s="11"/>
      <c r="G159" s="11"/>
      <c r="H159" s="11"/>
      <c r="I159" s="11"/>
      <c r="K159" s="8"/>
      <c r="L159" s="8"/>
      <c r="M159" s="8"/>
      <c r="N159" s="8"/>
      <c r="O159" s="8"/>
      <c r="P159" s="8"/>
      <c r="Q159" s="8"/>
      <c r="R159" s="8"/>
      <c r="S159" s="8"/>
    </row>
    <row r="160" spans="2:19" x14ac:dyDescent="0.3">
      <c r="B160" s="11"/>
      <c r="C160" s="11"/>
      <c r="D160" s="11"/>
      <c r="E160" s="11"/>
      <c r="F160" s="11"/>
      <c r="G160" s="11"/>
      <c r="H160" s="11"/>
      <c r="I160" s="11"/>
      <c r="K160" s="8"/>
      <c r="L160" s="8"/>
      <c r="M160" s="8"/>
      <c r="N160" s="8"/>
      <c r="O160" s="8"/>
      <c r="P160" s="8"/>
      <c r="Q160" s="8"/>
      <c r="R160" s="8"/>
      <c r="S160" s="8"/>
    </row>
    <row r="161" spans="2:19" x14ac:dyDescent="0.3">
      <c r="B161" s="11"/>
      <c r="C161" s="11"/>
      <c r="D161" s="11"/>
      <c r="E161" s="11"/>
      <c r="F161" s="11"/>
      <c r="G161" s="11"/>
      <c r="H161" s="11"/>
      <c r="I161" s="11"/>
      <c r="K161" s="8"/>
      <c r="L161" s="8"/>
      <c r="M161" s="8"/>
      <c r="N161" s="8"/>
      <c r="O161" s="8"/>
      <c r="P161" s="8"/>
      <c r="Q161" s="8"/>
      <c r="R161" s="8"/>
      <c r="S161" s="8"/>
    </row>
    <row r="162" spans="2:19" x14ac:dyDescent="0.3">
      <c r="B162" s="11"/>
      <c r="C162" s="11"/>
      <c r="D162" s="11"/>
      <c r="E162" s="11"/>
      <c r="F162" s="11"/>
      <c r="G162" s="11"/>
      <c r="H162" s="11"/>
      <c r="I162" s="11"/>
      <c r="K162" s="8"/>
      <c r="L162" s="8"/>
      <c r="M162" s="8"/>
      <c r="N162" s="8"/>
      <c r="O162" s="8"/>
      <c r="P162" s="8"/>
      <c r="Q162" s="8"/>
      <c r="R162" s="8"/>
      <c r="S162" s="8"/>
    </row>
    <row r="163" spans="2:19" x14ac:dyDescent="0.3">
      <c r="B163" s="11"/>
      <c r="C163" s="11"/>
      <c r="D163" s="11"/>
      <c r="E163" s="11"/>
      <c r="F163" s="11"/>
      <c r="G163" s="11"/>
      <c r="H163" s="11"/>
      <c r="I163" s="11"/>
      <c r="K163" s="8"/>
      <c r="L163" s="8"/>
      <c r="M163" s="8"/>
      <c r="N163" s="8"/>
      <c r="O163" s="8"/>
      <c r="P163" s="8"/>
      <c r="Q163" s="8"/>
      <c r="R163" s="8"/>
      <c r="S163" s="8"/>
    </row>
    <row r="164" spans="2:19" x14ac:dyDescent="0.3">
      <c r="B164" s="11"/>
      <c r="C164" s="11"/>
      <c r="D164" s="11"/>
      <c r="E164" s="11"/>
      <c r="F164" s="11"/>
      <c r="G164" s="11"/>
      <c r="H164" s="11"/>
      <c r="I164" s="11"/>
      <c r="K164" s="8"/>
      <c r="L164" s="8"/>
      <c r="M164" s="8"/>
      <c r="N164" s="8"/>
      <c r="O164" s="8"/>
      <c r="P164" s="8"/>
      <c r="Q164" s="8"/>
      <c r="R164" s="8"/>
      <c r="S164" s="8"/>
    </row>
    <row r="167" spans="2:19" ht="25.5" customHeight="1" x14ac:dyDescent="0.3">
      <c r="B167" s="4" t="s">
        <v>13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9" spans="2:19" ht="15" customHeight="1" x14ac:dyDescent="0.3">
      <c r="K169" s="5" t="s">
        <v>14</v>
      </c>
      <c r="L169" s="5"/>
      <c r="M169" s="5"/>
      <c r="N169" s="5"/>
      <c r="O169" s="5"/>
      <c r="P169" s="5"/>
      <c r="Q169" s="5"/>
      <c r="R169" s="5"/>
      <c r="S169" s="5"/>
    </row>
    <row r="170" spans="2:19" x14ac:dyDescent="0.3">
      <c r="K170" s="5"/>
      <c r="L170" s="5"/>
      <c r="M170" s="5"/>
      <c r="N170" s="5"/>
      <c r="O170" s="5"/>
      <c r="P170" s="5"/>
      <c r="Q170" s="5"/>
      <c r="R170" s="5"/>
      <c r="S170" s="5"/>
    </row>
    <row r="171" spans="2:19" x14ac:dyDescent="0.3">
      <c r="K171" s="5"/>
      <c r="L171" s="5"/>
      <c r="M171" s="5"/>
      <c r="N171" s="5"/>
      <c r="O171" s="5"/>
      <c r="P171" s="5"/>
      <c r="Q171" s="5"/>
      <c r="R171" s="5"/>
      <c r="S171" s="5"/>
    </row>
    <row r="172" spans="2:19" x14ac:dyDescent="0.3">
      <c r="K172" s="5"/>
      <c r="L172" s="5"/>
      <c r="M172" s="5"/>
      <c r="N172" s="5"/>
      <c r="O172" s="5"/>
      <c r="P172" s="5"/>
      <c r="Q172" s="5"/>
      <c r="R172" s="5"/>
      <c r="S172" s="5"/>
    </row>
    <row r="173" spans="2:19" x14ac:dyDescent="0.3">
      <c r="K173" s="5"/>
      <c r="L173" s="5"/>
      <c r="M173" s="5"/>
      <c r="N173" s="5"/>
      <c r="O173" s="5"/>
      <c r="P173" s="5"/>
      <c r="Q173" s="5"/>
      <c r="R173" s="5"/>
      <c r="S173" s="5"/>
    </row>
    <row r="174" spans="2:19" x14ac:dyDescent="0.3">
      <c r="K174" s="5"/>
      <c r="L174" s="5"/>
      <c r="M174" s="5"/>
      <c r="N174" s="5"/>
      <c r="O174" s="5"/>
      <c r="P174" s="5"/>
      <c r="Q174" s="5"/>
      <c r="R174" s="5"/>
      <c r="S174" s="5"/>
    </row>
    <row r="175" spans="2:19" x14ac:dyDescent="0.3">
      <c r="K175" s="5"/>
      <c r="L175" s="5"/>
      <c r="M175" s="5"/>
      <c r="N175" s="5"/>
      <c r="O175" s="5"/>
      <c r="P175" s="5"/>
      <c r="Q175" s="5"/>
      <c r="R175" s="5"/>
      <c r="S175" s="5"/>
    </row>
    <row r="176" spans="2:19" x14ac:dyDescent="0.3">
      <c r="K176" s="5"/>
      <c r="L176" s="5"/>
      <c r="M176" s="5"/>
      <c r="N176" s="5"/>
      <c r="O176" s="5"/>
      <c r="P176" s="5"/>
      <c r="Q176" s="5"/>
      <c r="R176" s="5"/>
      <c r="S176" s="5"/>
    </row>
    <row r="177" spans="2:19" x14ac:dyDescent="0.3">
      <c r="K177" s="5"/>
      <c r="L177" s="5"/>
      <c r="M177" s="5"/>
      <c r="N177" s="5"/>
      <c r="O177" s="5"/>
      <c r="P177" s="5"/>
      <c r="Q177" s="5"/>
      <c r="R177" s="5"/>
      <c r="S177" s="5"/>
    </row>
    <row r="178" spans="2:19" x14ac:dyDescent="0.3">
      <c r="K178" s="5"/>
      <c r="L178" s="5"/>
      <c r="M178" s="5"/>
      <c r="N178" s="5"/>
      <c r="O178" s="5"/>
      <c r="P178" s="5"/>
      <c r="Q178" s="5"/>
      <c r="R178" s="5"/>
      <c r="S178" s="5"/>
    </row>
    <row r="179" spans="2:19" x14ac:dyDescent="0.3">
      <c r="K179" s="5"/>
      <c r="L179" s="5"/>
      <c r="M179" s="5"/>
      <c r="N179" s="5"/>
      <c r="O179" s="5"/>
      <c r="P179" s="5"/>
      <c r="Q179" s="5"/>
      <c r="R179" s="5"/>
      <c r="S179" s="5"/>
    </row>
    <row r="180" spans="2:19" x14ac:dyDescent="0.3">
      <c r="K180" s="5"/>
      <c r="L180" s="5"/>
      <c r="M180" s="5"/>
      <c r="N180" s="5"/>
      <c r="O180" s="5"/>
      <c r="P180" s="5"/>
      <c r="Q180" s="5"/>
      <c r="R180" s="5"/>
      <c r="S180" s="5"/>
    </row>
    <row r="181" spans="2:19" x14ac:dyDescent="0.3">
      <c r="K181" s="5"/>
      <c r="L181" s="5"/>
      <c r="M181" s="5"/>
      <c r="N181" s="5"/>
      <c r="O181" s="5"/>
      <c r="P181" s="5"/>
      <c r="Q181" s="5"/>
      <c r="R181" s="5"/>
      <c r="S181" s="5"/>
    </row>
    <row r="182" spans="2:19" x14ac:dyDescent="0.3">
      <c r="K182" s="5"/>
      <c r="L182" s="5"/>
      <c r="M182" s="5"/>
      <c r="N182" s="5"/>
      <c r="O182" s="5"/>
      <c r="P182" s="5"/>
      <c r="Q182" s="5"/>
      <c r="R182" s="5"/>
      <c r="S182" s="5"/>
    </row>
    <row r="183" spans="2:19" x14ac:dyDescent="0.3">
      <c r="K183" s="5"/>
      <c r="L183" s="5"/>
      <c r="M183" s="5"/>
      <c r="N183" s="5"/>
      <c r="O183" s="5"/>
      <c r="P183" s="5"/>
      <c r="Q183" s="5"/>
      <c r="R183" s="5"/>
      <c r="S183" s="5"/>
    </row>
    <row r="184" spans="2:19" x14ac:dyDescent="0.3">
      <c r="K184" s="5"/>
      <c r="L184" s="5"/>
      <c r="M184" s="5"/>
      <c r="N184" s="5"/>
      <c r="O184" s="5"/>
      <c r="P184" s="5"/>
      <c r="Q184" s="5"/>
      <c r="R184" s="5"/>
      <c r="S184" s="5"/>
    </row>
    <row r="185" spans="2:19" x14ac:dyDescent="0.3">
      <c r="K185" s="5"/>
      <c r="L185" s="5"/>
      <c r="M185" s="5"/>
      <c r="N185" s="5"/>
      <c r="O185" s="5"/>
      <c r="P185" s="5"/>
      <c r="Q185" s="5"/>
      <c r="R185" s="5"/>
      <c r="S185" s="5"/>
    </row>
    <row r="186" spans="2:19" x14ac:dyDescent="0.3">
      <c r="K186" s="5"/>
      <c r="L186" s="5"/>
      <c r="M186" s="5"/>
      <c r="N186" s="5"/>
      <c r="O186" s="5"/>
      <c r="P186" s="5"/>
      <c r="Q186" s="5"/>
      <c r="R186" s="5"/>
      <c r="S186" s="5"/>
    </row>
    <row r="189" spans="2:19" ht="25.5" customHeight="1" x14ac:dyDescent="0.3">
      <c r="B189" s="6" t="s">
        <v>15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1" spans="2:19" ht="15" customHeight="1" x14ac:dyDescent="0.3">
      <c r="B191" s="7" t="s">
        <v>16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2:19" x14ac:dyDescent="0.3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2:19" x14ac:dyDescent="0.3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2:19" x14ac:dyDescent="0.3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2:19" x14ac:dyDescent="0.3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2:19" x14ac:dyDescent="0.3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2:19" x14ac:dyDescent="0.3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2:19" x14ac:dyDescent="0.3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2:19" x14ac:dyDescent="0.3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2:19" x14ac:dyDescent="0.3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</sheetData>
  <mergeCells count="21">
    <mergeCell ref="B2:S3"/>
    <mergeCell ref="B5:S5"/>
    <mergeCell ref="B43:I56"/>
    <mergeCell ref="K43:S49"/>
    <mergeCell ref="K50:S56"/>
    <mergeCell ref="B59:S59"/>
    <mergeCell ref="B79:I92"/>
    <mergeCell ref="K79:S85"/>
    <mergeCell ref="K86:S92"/>
    <mergeCell ref="B95:S95"/>
    <mergeCell ref="B167:S167"/>
    <mergeCell ref="K169:S186"/>
    <mergeCell ref="B189:S189"/>
    <mergeCell ref="B191:S200"/>
    <mergeCell ref="B115:I128"/>
    <mergeCell ref="K115:S121"/>
    <mergeCell ref="K122:S128"/>
    <mergeCell ref="B131:S131"/>
    <mergeCell ref="B151:I164"/>
    <mergeCell ref="K151:S157"/>
    <mergeCell ref="K158:S16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8F39-F98C-45A3-909C-4A0662FB1720}">
  <dimension ref="A1"/>
  <sheetViews>
    <sheetView workbookViewId="0">
      <selection activeCell="A40" sqref="A40:XFD4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8"/>
  <sheetViews>
    <sheetView showGridLines="0" tabSelected="1" zoomScale="80" zoomScaleNormal="100" workbookViewId="0">
      <selection activeCell="N9" sqref="N9"/>
    </sheetView>
  </sheetViews>
  <sheetFormatPr defaultColWidth="8.6640625" defaultRowHeight="14.4" x14ac:dyDescent="0.3"/>
  <cols>
    <col min="1" max="1" width="3" customWidth="1"/>
    <col min="2" max="15" width="16" customWidth="1"/>
    <col min="16" max="16" width="3" customWidth="1"/>
  </cols>
  <sheetData>
    <row r="2" spans="2:16" ht="21.75" customHeight="1" x14ac:dyDescent="0.3">
      <c r="B2" s="23" t="s">
        <v>17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2:16" ht="22.2" customHeight="1" x14ac:dyDescent="0.3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5" spans="2:16" ht="15.75" customHeight="1" x14ac:dyDescent="0.3">
      <c r="B5" s="24" t="s">
        <v>18</v>
      </c>
      <c r="C5" s="24"/>
      <c r="D5" s="24"/>
      <c r="E5" s="25" t="s">
        <v>19</v>
      </c>
      <c r="F5" s="25"/>
      <c r="G5" s="25"/>
      <c r="H5" s="26" t="s">
        <v>20</v>
      </c>
      <c r="I5" s="26"/>
      <c r="J5" s="26"/>
      <c r="K5" s="27" t="s">
        <v>21</v>
      </c>
      <c r="L5" s="27"/>
      <c r="M5" s="27"/>
      <c r="N5" s="28" t="s">
        <v>22</v>
      </c>
      <c r="O5" s="28"/>
      <c r="P5" s="28"/>
    </row>
    <row r="6" spans="2:16" ht="19.5" customHeight="1" x14ac:dyDescent="0.3">
      <c r="B6" s="18">
        <f>Raw_Data!B153</f>
        <v>20000</v>
      </c>
      <c r="C6" s="18"/>
      <c r="D6" s="18"/>
      <c r="E6" s="19">
        <f>AVERAGE(Raw_Data!C50:C54)</f>
        <v>1047536.0480000001</v>
      </c>
      <c r="F6" s="19"/>
      <c r="G6" s="19"/>
      <c r="H6" s="20">
        <f>SUM(Raw_Data!B82:B86)</f>
        <v>65128</v>
      </c>
      <c r="I6" s="20"/>
      <c r="J6" s="20"/>
      <c r="K6" s="21" t="s">
        <v>29</v>
      </c>
      <c r="L6" s="21"/>
      <c r="M6" s="21"/>
      <c r="N6" s="22">
        <f>Raw_Data!A161</f>
        <v>0.06</v>
      </c>
      <c r="O6" s="22"/>
      <c r="P6" s="22"/>
    </row>
    <row r="7" spans="2:16" ht="19.5" customHeight="1" x14ac:dyDescent="0.3">
      <c r="B7" s="18"/>
      <c r="C7" s="18"/>
      <c r="D7" s="18"/>
      <c r="E7" s="19"/>
      <c r="F7" s="19"/>
      <c r="G7" s="19"/>
      <c r="H7" s="20"/>
      <c r="I7" s="20"/>
      <c r="J7" s="20"/>
      <c r="K7" s="21"/>
      <c r="L7" s="21"/>
      <c r="M7" s="21"/>
      <c r="N7" s="22"/>
      <c r="O7" s="22"/>
      <c r="P7" s="22"/>
    </row>
    <row r="8" spans="2:16" ht="19.5" customHeight="1" x14ac:dyDescent="0.3">
      <c r="B8" s="18"/>
      <c r="C8" s="18"/>
      <c r="D8" s="18"/>
      <c r="E8" s="19"/>
      <c r="F8" s="19"/>
      <c r="G8" s="19"/>
      <c r="H8" s="20"/>
      <c r="I8" s="20"/>
      <c r="J8" s="20"/>
      <c r="K8" s="21"/>
      <c r="L8" s="21"/>
      <c r="M8" s="21"/>
      <c r="N8" s="22"/>
      <c r="O8" s="22"/>
      <c r="P8" s="22"/>
    </row>
  </sheetData>
  <mergeCells count="11">
    <mergeCell ref="B2:O3"/>
    <mergeCell ref="B5:D5"/>
    <mergeCell ref="E5:G5"/>
    <mergeCell ref="H5:J5"/>
    <mergeCell ref="K5:M5"/>
    <mergeCell ref="N5:P5"/>
    <mergeCell ref="B6:D8"/>
    <mergeCell ref="E6:G8"/>
    <mergeCell ref="H6:J8"/>
    <mergeCell ref="K6:M8"/>
    <mergeCell ref="N6:P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61"/>
  <sheetViews>
    <sheetView showGridLines="0" zoomScaleNormal="100" workbookViewId="0">
      <pane ySplit="1" topLeftCell="A59" activePane="bottomLeft" state="frozen"/>
      <selection pane="bottomLeft" activeCell="A161" sqref="A161"/>
    </sheetView>
  </sheetViews>
  <sheetFormatPr defaultColWidth="8.6640625" defaultRowHeight="14.4" x14ac:dyDescent="0.3"/>
  <cols>
    <col min="1" max="1" width="20" customWidth="1"/>
    <col min="2" max="3" width="24" customWidth="1"/>
    <col min="4" max="4" width="18" customWidth="1"/>
    <col min="5" max="7" width="12" customWidth="1"/>
  </cols>
  <sheetData>
    <row r="2" spans="1:7" ht="15" customHeight="1" x14ac:dyDescent="0.3">
      <c r="A2" s="30" t="s">
        <v>23</v>
      </c>
      <c r="B2" s="30"/>
      <c r="C2" s="30"/>
      <c r="D2" s="30"/>
      <c r="E2" s="30"/>
      <c r="F2" s="30"/>
    </row>
    <row r="4" spans="1:7" ht="15" customHeight="1" x14ac:dyDescent="0.3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</row>
    <row r="5" spans="1:7" ht="15" customHeight="1" x14ac:dyDescent="0.3">
      <c r="A5" s="2">
        <v>2019</v>
      </c>
      <c r="B5" s="3">
        <v>1073395.1100000001</v>
      </c>
      <c r="C5" s="3">
        <v>642424.18000000005</v>
      </c>
      <c r="D5" s="3">
        <v>1197709.6399999999</v>
      </c>
      <c r="E5" s="3">
        <v>553835.02</v>
      </c>
      <c r="F5" s="3">
        <v>420740.15</v>
      </c>
      <c r="G5" s="3">
        <v>828949.19</v>
      </c>
    </row>
    <row r="6" spans="1:7" ht="15" customHeight="1" x14ac:dyDescent="0.3">
      <c r="A6" s="2">
        <v>2020</v>
      </c>
      <c r="B6" s="3">
        <v>896578.76</v>
      </c>
      <c r="C6" s="3">
        <v>210936.81</v>
      </c>
      <c r="D6" s="3">
        <v>754476.52</v>
      </c>
      <c r="E6" s="3">
        <v>703982.47</v>
      </c>
      <c r="F6" s="3">
        <v>666826.56000000006</v>
      </c>
      <c r="G6" s="3">
        <v>454059.3</v>
      </c>
    </row>
    <row r="7" spans="1:7" ht="15" customHeight="1" x14ac:dyDescent="0.3">
      <c r="A7" s="2">
        <v>2021</v>
      </c>
      <c r="B7" s="3">
        <v>513825.37</v>
      </c>
      <c r="C7" s="3">
        <v>214699.77</v>
      </c>
      <c r="D7" s="3">
        <v>483272.18</v>
      </c>
      <c r="E7" s="3">
        <v>325960.09000000003</v>
      </c>
      <c r="F7" s="3">
        <v>1097071.31</v>
      </c>
      <c r="G7" s="3">
        <v>314281.25</v>
      </c>
    </row>
    <row r="8" spans="1:7" ht="15" customHeight="1" x14ac:dyDescent="0.3">
      <c r="A8" s="2">
        <v>2022</v>
      </c>
      <c r="B8" s="3">
        <v>733732.61</v>
      </c>
      <c r="C8" s="3">
        <v>1138868.5</v>
      </c>
      <c r="D8" s="3">
        <v>804927.26</v>
      </c>
      <c r="E8" s="3">
        <v>469439.21</v>
      </c>
      <c r="F8" s="3">
        <v>1094283.6299999999</v>
      </c>
      <c r="G8" s="3">
        <v>913676.07</v>
      </c>
    </row>
    <row r="9" spans="1:7" ht="15" customHeight="1" x14ac:dyDescent="0.3">
      <c r="A9" s="2">
        <v>2023</v>
      </c>
      <c r="B9" s="3">
        <v>392108.28</v>
      </c>
      <c r="C9" s="3">
        <v>224506.74</v>
      </c>
      <c r="D9" s="3">
        <v>884450.75</v>
      </c>
      <c r="E9" s="3">
        <v>600319.88</v>
      </c>
      <c r="F9" s="3">
        <v>874468.71</v>
      </c>
      <c r="G9" s="3">
        <v>322967.37</v>
      </c>
    </row>
    <row r="12" spans="1:7" ht="15" customHeight="1" x14ac:dyDescent="0.3">
      <c r="A12" s="30" t="s">
        <v>31</v>
      </c>
      <c r="B12" s="30"/>
      <c r="C12" s="30"/>
      <c r="D12" s="30"/>
      <c r="E12" s="30"/>
      <c r="F12" s="30"/>
    </row>
    <row r="14" spans="1:7" ht="15" customHeight="1" x14ac:dyDescent="0.3">
      <c r="A14" s="1" t="s">
        <v>32</v>
      </c>
      <c r="B14" s="1" t="s">
        <v>24</v>
      </c>
      <c r="C14" s="1" t="s">
        <v>33</v>
      </c>
    </row>
    <row r="15" spans="1:7" ht="15" customHeight="1" x14ac:dyDescent="0.3">
      <c r="A15" s="2" t="s">
        <v>25</v>
      </c>
      <c r="B15" s="2">
        <v>2019</v>
      </c>
      <c r="C15" s="3">
        <v>1073395.1100000001</v>
      </c>
    </row>
    <row r="16" spans="1:7" ht="15" customHeight="1" x14ac:dyDescent="0.3">
      <c r="A16" s="2" t="s">
        <v>25</v>
      </c>
      <c r="B16" s="2">
        <v>2020</v>
      </c>
      <c r="C16" s="3">
        <v>896578.76</v>
      </c>
    </row>
    <row r="17" spans="1:3" ht="15" customHeight="1" x14ac:dyDescent="0.3">
      <c r="A17" s="2" t="s">
        <v>25</v>
      </c>
      <c r="B17" s="2">
        <v>2021</v>
      </c>
      <c r="C17" s="3">
        <v>513825.37</v>
      </c>
    </row>
    <row r="18" spans="1:3" ht="15" customHeight="1" x14ac:dyDescent="0.3">
      <c r="A18" s="2" t="s">
        <v>25</v>
      </c>
      <c r="B18" s="2">
        <v>2022</v>
      </c>
      <c r="C18" s="3">
        <v>733732.61</v>
      </c>
    </row>
    <row r="19" spans="1:3" ht="15" customHeight="1" x14ac:dyDescent="0.3">
      <c r="A19" s="2" t="s">
        <v>25</v>
      </c>
      <c r="B19" s="2">
        <v>2023</v>
      </c>
      <c r="C19" s="3">
        <v>392108.28</v>
      </c>
    </row>
    <row r="20" spans="1:3" ht="15" customHeight="1" x14ac:dyDescent="0.3">
      <c r="A20" s="2" t="s">
        <v>26</v>
      </c>
      <c r="B20" s="2">
        <v>2019</v>
      </c>
      <c r="C20" s="3">
        <v>642424.18000000005</v>
      </c>
    </row>
    <row r="21" spans="1:3" ht="15" customHeight="1" x14ac:dyDescent="0.3">
      <c r="A21" s="2" t="s">
        <v>26</v>
      </c>
      <c r="B21" s="2">
        <v>2020</v>
      </c>
      <c r="C21" s="3">
        <v>210936.81</v>
      </c>
    </row>
    <row r="22" spans="1:3" ht="15" customHeight="1" x14ac:dyDescent="0.3">
      <c r="A22" s="2" t="s">
        <v>26</v>
      </c>
      <c r="B22" s="2">
        <v>2021</v>
      </c>
      <c r="C22" s="3">
        <v>214699.77</v>
      </c>
    </row>
    <row r="23" spans="1:3" ht="15" customHeight="1" x14ac:dyDescent="0.3">
      <c r="A23" s="2" t="s">
        <v>26</v>
      </c>
      <c r="B23" s="2">
        <v>2022</v>
      </c>
      <c r="C23" s="3">
        <v>1138868.5</v>
      </c>
    </row>
    <row r="24" spans="1:3" ht="15" customHeight="1" x14ac:dyDescent="0.3">
      <c r="A24" s="2" t="s">
        <v>26</v>
      </c>
      <c r="B24" s="2">
        <v>2023</v>
      </c>
      <c r="C24" s="3">
        <v>224506.74</v>
      </c>
    </row>
    <row r="25" spans="1:3" ht="15" customHeight="1" x14ac:dyDescent="0.3">
      <c r="A25" s="2" t="s">
        <v>27</v>
      </c>
      <c r="B25" s="2">
        <v>2019</v>
      </c>
      <c r="C25" s="3">
        <v>1197709.6399999999</v>
      </c>
    </row>
    <row r="26" spans="1:3" ht="15" customHeight="1" x14ac:dyDescent="0.3">
      <c r="A26" s="2" t="s">
        <v>27</v>
      </c>
      <c r="B26" s="2">
        <v>2020</v>
      </c>
      <c r="C26" s="3">
        <v>754476.52</v>
      </c>
    </row>
    <row r="27" spans="1:3" ht="15" customHeight="1" x14ac:dyDescent="0.3">
      <c r="A27" s="2" t="s">
        <v>27</v>
      </c>
      <c r="B27" s="2">
        <v>2021</v>
      </c>
      <c r="C27" s="3">
        <v>483272.18</v>
      </c>
    </row>
    <row r="28" spans="1:3" ht="15" customHeight="1" x14ac:dyDescent="0.3">
      <c r="A28" s="2" t="s">
        <v>27</v>
      </c>
      <c r="B28" s="2">
        <v>2022</v>
      </c>
      <c r="C28" s="3">
        <v>804927.26</v>
      </c>
    </row>
    <row r="29" spans="1:3" ht="15" customHeight="1" x14ac:dyDescent="0.3">
      <c r="A29" s="2" t="s">
        <v>27</v>
      </c>
      <c r="B29" s="2">
        <v>2023</v>
      </c>
      <c r="C29" s="3">
        <v>884450.75</v>
      </c>
    </row>
    <row r="30" spans="1:3" ht="15" customHeight="1" x14ac:dyDescent="0.3">
      <c r="A30" s="2" t="s">
        <v>28</v>
      </c>
      <c r="B30" s="2">
        <v>2019</v>
      </c>
      <c r="C30" s="3">
        <v>553835.02</v>
      </c>
    </row>
    <row r="31" spans="1:3" ht="15" customHeight="1" x14ac:dyDescent="0.3">
      <c r="A31" s="2" t="s">
        <v>28</v>
      </c>
      <c r="B31" s="2">
        <v>2020</v>
      </c>
      <c r="C31" s="3">
        <v>703982.47</v>
      </c>
    </row>
    <row r="32" spans="1:3" ht="15" customHeight="1" x14ac:dyDescent="0.3">
      <c r="A32" s="2" t="s">
        <v>28</v>
      </c>
      <c r="B32" s="2">
        <v>2021</v>
      </c>
      <c r="C32" s="3">
        <v>325960.09000000003</v>
      </c>
    </row>
    <row r="33" spans="1:6" ht="15" customHeight="1" x14ac:dyDescent="0.3">
      <c r="A33" s="2" t="s">
        <v>28</v>
      </c>
      <c r="B33" s="2">
        <v>2022</v>
      </c>
      <c r="C33" s="3">
        <v>469439.21</v>
      </c>
    </row>
    <row r="34" spans="1:6" ht="15" customHeight="1" x14ac:dyDescent="0.3">
      <c r="A34" s="2" t="s">
        <v>28</v>
      </c>
      <c r="B34" s="2">
        <v>2023</v>
      </c>
      <c r="C34" s="3">
        <v>600319.88</v>
      </c>
    </row>
    <row r="35" spans="1:6" ht="15" customHeight="1" x14ac:dyDescent="0.3">
      <c r="A35" s="2" t="s">
        <v>29</v>
      </c>
      <c r="B35" s="2">
        <v>2019</v>
      </c>
      <c r="C35" s="3">
        <v>420740.15</v>
      </c>
    </row>
    <row r="36" spans="1:6" ht="15" customHeight="1" x14ac:dyDescent="0.3">
      <c r="A36" s="2" t="s">
        <v>29</v>
      </c>
      <c r="B36" s="2">
        <v>2020</v>
      </c>
      <c r="C36" s="3">
        <v>666826.56000000006</v>
      </c>
    </row>
    <row r="37" spans="1:6" ht="15" customHeight="1" x14ac:dyDescent="0.3">
      <c r="A37" s="2" t="s">
        <v>29</v>
      </c>
      <c r="B37" s="2">
        <v>2021</v>
      </c>
      <c r="C37" s="3">
        <v>1097071.31</v>
      </c>
    </row>
    <row r="38" spans="1:6" ht="15" customHeight="1" x14ac:dyDescent="0.3">
      <c r="A38" s="2" t="s">
        <v>29</v>
      </c>
      <c r="B38" s="2">
        <v>2022</v>
      </c>
      <c r="C38" s="3">
        <v>1094283.6299999999</v>
      </c>
    </row>
    <row r="39" spans="1:6" ht="15" customHeight="1" x14ac:dyDescent="0.3">
      <c r="A39" s="2" t="s">
        <v>29</v>
      </c>
      <c r="B39" s="2">
        <v>2023</v>
      </c>
      <c r="C39" s="3">
        <v>874468.71</v>
      </c>
    </row>
    <row r="40" spans="1:6" ht="15" customHeight="1" x14ac:dyDescent="0.3">
      <c r="A40" s="2" t="s">
        <v>30</v>
      </c>
      <c r="B40" s="2">
        <v>2019</v>
      </c>
      <c r="C40" s="3">
        <v>828949.19</v>
      </c>
    </row>
    <row r="41" spans="1:6" ht="15" customHeight="1" x14ac:dyDescent="0.3">
      <c r="A41" s="2" t="s">
        <v>30</v>
      </c>
      <c r="B41" s="2">
        <v>2020</v>
      </c>
      <c r="C41" s="3">
        <v>454059.3</v>
      </c>
    </row>
    <row r="42" spans="1:6" ht="15" customHeight="1" x14ac:dyDescent="0.3">
      <c r="A42" s="2" t="s">
        <v>30</v>
      </c>
      <c r="B42" s="2">
        <v>2021</v>
      </c>
      <c r="C42" s="3">
        <v>314281.25</v>
      </c>
    </row>
    <row r="43" spans="1:6" ht="15" customHeight="1" x14ac:dyDescent="0.3">
      <c r="A43" s="2" t="s">
        <v>30</v>
      </c>
      <c r="B43" s="2">
        <v>2022</v>
      </c>
      <c r="C43" s="3">
        <v>913676.07</v>
      </c>
    </row>
    <row r="44" spans="1:6" ht="15" customHeight="1" x14ac:dyDescent="0.3">
      <c r="A44" s="2" t="s">
        <v>30</v>
      </c>
      <c r="B44" s="2">
        <v>2023</v>
      </c>
      <c r="C44" s="3">
        <v>322967.37</v>
      </c>
    </row>
    <row r="47" spans="1:6" ht="15" customHeight="1" x14ac:dyDescent="0.3">
      <c r="A47" s="30" t="s">
        <v>34</v>
      </c>
      <c r="B47" s="30"/>
      <c r="C47" s="30"/>
      <c r="D47" s="30"/>
      <c r="E47" s="30"/>
      <c r="F47" s="30"/>
    </row>
    <row r="49" spans="1:6" ht="15" customHeight="1" x14ac:dyDescent="0.3">
      <c r="A49" s="1" t="s">
        <v>35</v>
      </c>
      <c r="B49" s="1" t="s">
        <v>36</v>
      </c>
      <c r="C49" s="1" t="s">
        <v>33</v>
      </c>
      <c r="D49" s="1" t="s">
        <v>37</v>
      </c>
      <c r="E49" s="1" t="s">
        <v>38</v>
      </c>
    </row>
    <row r="50" spans="1:6" ht="15" customHeight="1" x14ac:dyDescent="0.3">
      <c r="A50" s="2" t="s">
        <v>39</v>
      </c>
      <c r="B50" s="2">
        <v>4845</v>
      </c>
      <c r="C50" s="3">
        <v>1057516.95</v>
      </c>
      <c r="D50" s="3">
        <v>100942.3</v>
      </c>
      <c r="E50" s="3">
        <v>1999954.35</v>
      </c>
    </row>
    <row r="51" spans="1:6" ht="15" customHeight="1" x14ac:dyDescent="0.3">
      <c r="A51" s="2" t="s">
        <v>40</v>
      </c>
      <c r="B51" s="2">
        <v>588</v>
      </c>
      <c r="C51" s="3">
        <v>1054752.3500000001</v>
      </c>
      <c r="D51" s="3">
        <v>100309.58</v>
      </c>
      <c r="E51" s="3">
        <v>1999130.99</v>
      </c>
    </row>
    <row r="52" spans="1:6" ht="15" customHeight="1" x14ac:dyDescent="0.3">
      <c r="A52" s="2" t="s">
        <v>41</v>
      </c>
      <c r="B52" s="2">
        <v>4953</v>
      </c>
      <c r="C52" s="3">
        <v>1045960.18</v>
      </c>
      <c r="D52" s="3">
        <v>100055.76</v>
      </c>
      <c r="E52" s="3">
        <v>1999739.49</v>
      </c>
    </row>
    <row r="53" spans="1:6" ht="15" customHeight="1" x14ac:dyDescent="0.3">
      <c r="A53" s="2" t="s">
        <v>42</v>
      </c>
      <c r="B53" s="2">
        <v>4765</v>
      </c>
      <c r="C53" s="3">
        <v>1045217.97</v>
      </c>
      <c r="D53" s="3">
        <v>100244.77</v>
      </c>
      <c r="E53" s="3">
        <v>1998147.76</v>
      </c>
    </row>
    <row r="54" spans="1:6" ht="15" customHeight="1" x14ac:dyDescent="0.3">
      <c r="A54" s="2" t="s">
        <v>43</v>
      </c>
      <c r="B54" s="2">
        <v>4837</v>
      </c>
      <c r="C54" s="3">
        <v>1034232.79</v>
      </c>
      <c r="D54" s="3">
        <v>100186.01</v>
      </c>
      <c r="E54" s="3">
        <v>1999984.88</v>
      </c>
    </row>
    <row r="57" spans="1:6" ht="15" customHeight="1" x14ac:dyDescent="0.3">
      <c r="A57" s="30" t="s">
        <v>44</v>
      </c>
      <c r="B57" s="30"/>
      <c r="C57" s="30"/>
      <c r="D57" s="30"/>
      <c r="E57" s="30"/>
      <c r="F57" s="30"/>
    </row>
    <row r="59" spans="1:6" ht="15" customHeight="1" x14ac:dyDescent="0.3">
      <c r="A59" s="1" t="s">
        <v>32</v>
      </c>
      <c r="B59" s="1" t="s">
        <v>41</v>
      </c>
      <c r="C59" s="1" t="s">
        <v>42</v>
      </c>
      <c r="D59" s="1" t="s">
        <v>43</v>
      </c>
      <c r="E59" s="1" t="s">
        <v>39</v>
      </c>
      <c r="F59" s="1" t="s">
        <v>40</v>
      </c>
    </row>
    <row r="60" spans="1:6" ht="15" customHeight="1" x14ac:dyDescent="0.3">
      <c r="A60" s="2" t="s">
        <v>25</v>
      </c>
      <c r="B60" s="2">
        <v>836</v>
      </c>
      <c r="C60" s="2">
        <v>837</v>
      </c>
      <c r="D60" s="2">
        <v>820</v>
      </c>
      <c r="E60" s="2">
        <v>821</v>
      </c>
      <c r="F60" s="2">
        <v>79</v>
      </c>
    </row>
    <row r="61" spans="1:6" ht="15" customHeight="1" x14ac:dyDescent="0.3">
      <c r="A61" s="2" t="s">
        <v>26</v>
      </c>
      <c r="B61" s="2">
        <v>819</v>
      </c>
      <c r="C61" s="2">
        <v>807</v>
      </c>
      <c r="D61" s="2">
        <v>772</v>
      </c>
      <c r="E61" s="2">
        <v>835</v>
      </c>
      <c r="F61" s="2">
        <v>105</v>
      </c>
    </row>
    <row r="62" spans="1:6" ht="15" customHeight="1" x14ac:dyDescent="0.3">
      <c r="A62" s="2" t="s">
        <v>27</v>
      </c>
      <c r="B62" s="2">
        <v>836</v>
      </c>
      <c r="C62" s="2">
        <v>814</v>
      </c>
      <c r="D62" s="2">
        <v>821</v>
      </c>
      <c r="E62" s="2">
        <v>830</v>
      </c>
      <c r="F62" s="2">
        <v>103</v>
      </c>
    </row>
    <row r="63" spans="1:6" ht="15" customHeight="1" x14ac:dyDescent="0.3">
      <c r="A63" s="2" t="s">
        <v>28</v>
      </c>
      <c r="B63" s="2">
        <v>809</v>
      </c>
      <c r="C63" s="2">
        <v>807</v>
      </c>
      <c r="D63" s="2">
        <v>814</v>
      </c>
      <c r="E63" s="2">
        <v>768</v>
      </c>
      <c r="F63" s="2">
        <v>118</v>
      </c>
    </row>
    <row r="64" spans="1:6" ht="15" customHeight="1" x14ac:dyDescent="0.3">
      <c r="A64" s="2" t="s">
        <v>29</v>
      </c>
      <c r="B64" s="2">
        <v>779</v>
      </c>
      <c r="C64" s="2">
        <v>754</v>
      </c>
      <c r="D64" s="2">
        <v>820</v>
      </c>
      <c r="E64" s="2">
        <v>782</v>
      </c>
      <c r="F64" s="2">
        <v>112</v>
      </c>
    </row>
    <row r="65" spans="1:6" ht="15" customHeight="1" x14ac:dyDescent="0.3">
      <c r="A65" s="2" t="s">
        <v>30</v>
      </c>
      <c r="B65" s="2">
        <v>874</v>
      </c>
      <c r="C65" s="2">
        <v>746</v>
      </c>
      <c r="D65" s="2">
        <v>790</v>
      </c>
      <c r="E65" s="2">
        <v>809</v>
      </c>
      <c r="F65" s="2">
        <v>83</v>
      </c>
    </row>
    <row r="68" spans="1:6" ht="15" customHeight="1" x14ac:dyDescent="0.3">
      <c r="A68" s="30" t="s">
        <v>45</v>
      </c>
      <c r="B68" s="30"/>
      <c r="C68" s="30"/>
      <c r="D68" s="30"/>
      <c r="E68" s="30"/>
      <c r="F68" s="30"/>
    </row>
    <row r="69" spans="1:6" ht="15" customHeight="1" x14ac:dyDescent="0.3">
      <c r="A69" s="29"/>
      <c r="B69" s="29"/>
      <c r="C69" s="29"/>
      <c r="D69" s="29"/>
      <c r="E69" s="29"/>
      <c r="F69" s="29"/>
    </row>
    <row r="70" spans="1:6" ht="15" customHeight="1" x14ac:dyDescent="0.3">
      <c r="A70" s="1" t="s">
        <v>32</v>
      </c>
      <c r="B70" s="1" t="s">
        <v>46</v>
      </c>
      <c r="C70" s="1" t="s">
        <v>47</v>
      </c>
      <c r="D70" s="1" t="s">
        <v>48</v>
      </c>
    </row>
    <row r="71" spans="1:6" ht="15" customHeight="1" x14ac:dyDescent="0.3">
      <c r="A71" s="2" t="s">
        <v>29</v>
      </c>
      <c r="B71" s="2">
        <v>162.35</v>
      </c>
      <c r="C71" s="2">
        <v>830678.07</v>
      </c>
      <c r="D71" s="2">
        <v>3934.04</v>
      </c>
    </row>
    <row r="72" spans="1:6" ht="15" customHeight="1" x14ac:dyDescent="0.3">
      <c r="A72" s="2" t="s">
        <v>25</v>
      </c>
      <c r="B72" s="2">
        <v>129.52000000000001</v>
      </c>
      <c r="C72" s="2">
        <v>721928.03</v>
      </c>
      <c r="D72" s="2">
        <v>2680.01</v>
      </c>
    </row>
    <row r="73" spans="1:6" ht="15" customHeight="1" x14ac:dyDescent="0.3">
      <c r="A73" s="2" t="s">
        <v>30</v>
      </c>
      <c r="B73" s="2">
        <v>122.11</v>
      </c>
      <c r="C73" s="2">
        <v>566786.64</v>
      </c>
      <c r="D73" s="2">
        <v>3638.35</v>
      </c>
    </row>
    <row r="74" spans="1:6" ht="15" customHeight="1" x14ac:dyDescent="0.3">
      <c r="A74" s="2" t="s">
        <v>27</v>
      </c>
      <c r="B74" s="2">
        <v>117.8</v>
      </c>
      <c r="C74" s="2">
        <v>824967.27</v>
      </c>
      <c r="D74" s="2">
        <v>2659.77</v>
      </c>
    </row>
    <row r="75" spans="1:6" ht="15" customHeight="1" x14ac:dyDescent="0.3">
      <c r="A75" s="2" t="s">
        <v>26</v>
      </c>
      <c r="B75" s="2">
        <v>105.2</v>
      </c>
      <c r="C75" s="2">
        <v>486287.2</v>
      </c>
      <c r="D75" s="2">
        <v>2919.57</v>
      </c>
    </row>
    <row r="76" spans="1:6" ht="15" customHeight="1" x14ac:dyDescent="0.3">
      <c r="A76" s="2" t="s">
        <v>28</v>
      </c>
      <c r="B76" s="2">
        <v>98.63</v>
      </c>
      <c r="C76" s="2">
        <v>530707.32999999996</v>
      </c>
      <c r="D76" s="2">
        <v>2600.59</v>
      </c>
    </row>
    <row r="79" spans="1:6" ht="15" customHeight="1" x14ac:dyDescent="0.3">
      <c r="A79" s="30" t="s">
        <v>49</v>
      </c>
      <c r="B79" s="30"/>
      <c r="C79" s="30"/>
      <c r="D79" s="30"/>
      <c r="E79" s="30"/>
      <c r="F79" s="30"/>
    </row>
    <row r="81" spans="1:6" ht="15" customHeight="1" x14ac:dyDescent="0.3">
      <c r="A81" s="1" t="s">
        <v>24</v>
      </c>
      <c r="B81" s="1" t="s">
        <v>50</v>
      </c>
    </row>
    <row r="82" spans="1:6" ht="15" customHeight="1" x14ac:dyDescent="0.3">
      <c r="A82" s="2">
        <v>2019</v>
      </c>
      <c r="B82" s="2">
        <v>15516</v>
      </c>
    </row>
    <row r="83" spans="1:6" ht="15" customHeight="1" x14ac:dyDescent="0.3">
      <c r="A83" s="2">
        <v>2020</v>
      </c>
      <c r="B83" s="2">
        <v>21844</v>
      </c>
    </row>
    <row r="84" spans="1:6" ht="15" customHeight="1" x14ac:dyDescent="0.3">
      <c r="A84" s="2">
        <v>2021</v>
      </c>
      <c r="B84" s="2">
        <v>10016</v>
      </c>
    </row>
    <row r="85" spans="1:6" ht="15" customHeight="1" x14ac:dyDescent="0.3">
      <c r="A85" s="2">
        <v>2022</v>
      </c>
      <c r="B85" s="2">
        <v>8772</v>
      </c>
    </row>
    <row r="86" spans="1:6" ht="15" customHeight="1" x14ac:dyDescent="0.3">
      <c r="A86" s="2">
        <v>2023</v>
      </c>
      <c r="B86" s="2">
        <v>8980</v>
      </c>
    </row>
    <row r="89" spans="1:6" ht="15" customHeight="1" x14ac:dyDescent="0.3">
      <c r="A89" s="30" t="s">
        <v>51</v>
      </c>
      <c r="B89" s="30"/>
      <c r="C89" s="30"/>
      <c r="D89" s="30"/>
      <c r="E89" s="30"/>
      <c r="F89" s="30"/>
    </row>
    <row r="91" spans="1:6" ht="15" customHeight="1" x14ac:dyDescent="0.3">
      <c r="A91" s="1" t="s">
        <v>32</v>
      </c>
      <c r="B91" s="1" t="s">
        <v>50</v>
      </c>
    </row>
    <row r="92" spans="1:6" ht="15" customHeight="1" x14ac:dyDescent="0.3">
      <c r="A92" s="2" t="s">
        <v>26</v>
      </c>
      <c r="B92" s="2">
        <v>13696</v>
      </c>
    </row>
    <row r="93" spans="1:6" ht="15" customHeight="1" x14ac:dyDescent="0.3">
      <c r="A93" s="2" t="s">
        <v>30</v>
      </c>
      <c r="B93" s="2">
        <v>12604</v>
      </c>
    </row>
    <row r="94" spans="1:6" ht="15" customHeight="1" x14ac:dyDescent="0.3">
      <c r="A94" s="2" t="s">
        <v>25</v>
      </c>
      <c r="B94" s="2">
        <v>10736</v>
      </c>
    </row>
    <row r="95" spans="1:6" ht="15" customHeight="1" x14ac:dyDescent="0.3">
      <c r="A95" s="2" t="s">
        <v>29</v>
      </c>
      <c r="B95" s="2">
        <v>10156</v>
      </c>
    </row>
    <row r="96" spans="1:6" ht="15" customHeight="1" x14ac:dyDescent="0.3">
      <c r="A96" s="2" t="s">
        <v>27</v>
      </c>
      <c r="B96" s="2">
        <v>10092</v>
      </c>
    </row>
    <row r="97" spans="1:6" ht="15" customHeight="1" x14ac:dyDescent="0.3">
      <c r="A97" s="2" t="s">
        <v>28</v>
      </c>
      <c r="B97" s="2">
        <v>7844</v>
      </c>
    </row>
    <row r="100" spans="1:6" ht="15" customHeight="1" x14ac:dyDescent="0.3">
      <c r="A100" s="30" t="s">
        <v>52</v>
      </c>
      <c r="B100" s="30"/>
      <c r="C100" s="30"/>
      <c r="D100" s="30"/>
      <c r="E100" s="30"/>
      <c r="F100" s="30"/>
    </row>
    <row r="102" spans="1:6" ht="15" customHeight="1" x14ac:dyDescent="0.3">
      <c r="A102" s="1" t="s">
        <v>24</v>
      </c>
      <c r="B102" s="1" t="s">
        <v>53</v>
      </c>
      <c r="C102" s="1" t="s">
        <v>54</v>
      </c>
    </row>
    <row r="103" spans="1:6" ht="15" customHeight="1" x14ac:dyDescent="0.3">
      <c r="A103" s="2">
        <v>2019</v>
      </c>
      <c r="B103" s="2">
        <v>3.35</v>
      </c>
      <c r="C103" s="2"/>
    </row>
    <row r="104" spans="1:6" ht="15" customHeight="1" x14ac:dyDescent="0.3">
      <c r="A104" s="2">
        <v>2020</v>
      </c>
      <c r="B104" s="2">
        <v>4.57</v>
      </c>
      <c r="C104" s="2">
        <v>1.22</v>
      </c>
    </row>
    <row r="105" spans="1:6" ht="15" customHeight="1" x14ac:dyDescent="0.3">
      <c r="A105" s="2">
        <v>2021</v>
      </c>
      <c r="B105" s="2">
        <v>4.9000000000000004</v>
      </c>
      <c r="C105" s="2">
        <v>0.33</v>
      </c>
    </row>
    <row r="106" spans="1:6" ht="15" customHeight="1" x14ac:dyDescent="0.3">
      <c r="A106" s="2">
        <v>2022</v>
      </c>
      <c r="B106" s="2">
        <v>4.75</v>
      </c>
      <c r="C106" s="2">
        <v>-0.15</v>
      </c>
    </row>
    <row r="107" spans="1:6" ht="15" customHeight="1" x14ac:dyDescent="0.3">
      <c r="A107" s="2">
        <v>2023</v>
      </c>
      <c r="B107" s="2">
        <v>4.13</v>
      </c>
      <c r="C107" s="2">
        <v>-0.62</v>
      </c>
    </row>
    <row r="110" spans="1:6" ht="15" customHeight="1" x14ac:dyDescent="0.3">
      <c r="A110" s="30" t="s">
        <v>55</v>
      </c>
      <c r="B110" s="30"/>
      <c r="C110" s="30"/>
      <c r="D110" s="30"/>
      <c r="E110" s="30"/>
      <c r="F110" s="30"/>
    </row>
    <row r="112" spans="1:6" ht="15" customHeight="1" x14ac:dyDescent="0.3">
      <c r="A112" s="1" t="s">
        <v>56</v>
      </c>
      <c r="B112" s="1" t="s">
        <v>57</v>
      </c>
      <c r="C112" s="1" t="s">
        <v>58</v>
      </c>
      <c r="D112" s="1" t="s">
        <v>59</v>
      </c>
    </row>
    <row r="113" spans="1:6" ht="15" customHeight="1" x14ac:dyDescent="0.3">
      <c r="A113" s="2" t="s">
        <v>60</v>
      </c>
      <c r="B113" s="2">
        <v>6.48</v>
      </c>
      <c r="C113" s="2" t="s">
        <v>61</v>
      </c>
      <c r="D113" s="2">
        <v>1</v>
      </c>
    </row>
    <row r="114" spans="1:6" ht="15" customHeight="1" x14ac:dyDescent="0.3">
      <c r="A114" s="2" t="s">
        <v>62</v>
      </c>
      <c r="B114" s="2">
        <v>5.97</v>
      </c>
      <c r="C114" s="2" t="s">
        <v>61</v>
      </c>
      <c r="D114" s="2">
        <v>2</v>
      </c>
    </row>
    <row r="115" spans="1:6" ht="15" customHeight="1" x14ac:dyDescent="0.3">
      <c r="A115" s="2" t="s">
        <v>63</v>
      </c>
      <c r="B115" s="2">
        <v>5.87</v>
      </c>
      <c r="C115" s="2" t="s">
        <v>61</v>
      </c>
      <c r="D115" s="2">
        <v>3</v>
      </c>
    </row>
    <row r="116" spans="1:6" ht="15" customHeight="1" x14ac:dyDescent="0.3">
      <c r="A116" s="2" t="s">
        <v>64</v>
      </c>
      <c r="B116" s="2">
        <v>5.54</v>
      </c>
      <c r="C116" s="2" t="s">
        <v>61</v>
      </c>
      <c r="D116" s="2">
        <v>4</v>
      </c>
    </row>
    <row r="119" spans="1:6" ht="15" customHeight="1" x14ac:dyDescent="0.3">
      <c r="A119" s="30" t="s">
        <v>65</v>
      </c>
      <c r="B119" s="30"/>
      <c r="C119" s="30"/>
      <c r="D119" s="30"/>
      <c r="E119" s="30"/>
      <c r="F119" s="30"/>
    </row>
    <row r="120" spans="1:6" ht="15" customHeight="1" x14ac:dyDescent="0.3">
      <c r="A120" s="29"/>
      <c r="B120" s="29"/>
      <c r="C120" s="29"/>
      <c r="D120" s="29"/>
      <c r="E120" s="29"/>
      <c r="F120" s="29"/>
    </row>
    <row r="121" spans="1:6" ht="15" customHeight="1" x14ac:dyDescent="0.3">
      <c r="A121" s="1" t="s">
        <v>66</v>
      </c>
      <c r="B121" s="1" t="s">
        <v>67</v>
      </c>
      <c r="C121" s="1" t="s">
        <v>47</v>
      </c>
    </row>
    <row r="122" spans="1:6" ht="15" customHeight="1" x14ac:dyDescent="0.3">
      <c r="A122" s="2" t="s">
        <v>68</v>
      </c>
      <c r="B122" s="2">
        <v>72</v>
      </c>
      <c r="C122" s="2">
        <v>630723.54</v>
      </c>
    </row>
    <row r="123" spans="1:6" ht="15" customHeight="1" x14ac:dyDescent="0.3">
      <c r="A123" s="2" t="s">
        <v>69</v>
      </c>
      <c r="B123" s="2">
        <v>48</v>
      </c>
      <c r="C123" s="2">
        <v>704479.08</v>
      </c>
    </row>
    <row r="124" spans="1:6" ht="15" customHeight="1" x14ac:dyDescent="0.3"/>
    <row r="125" spans="1:6" ht="15" customHeight="1" x14ac:dyDescent="0.3"/>
    <row r="128" spans="1:6" ht="15" customHeight="1" x14ac:dyDescent="0.3">
      <c r="A128" s="30" t="s">
        <v>70</v>
      </c>
      <c r="B128" s="30"/>
      <c r="C128" s="30"/>
      <c r="D128" s="30"/>
      <c r="E128" s="30"/>
      <c r="F128" s="30"/>
    </row>
    <row r="130" spans="1:6" ht="15" customHeight="1" x14ac:dyDescent="0.3">
      <c r="A130" s="1" t="s">
        <v>32</v>
      </c>
      <c r="B130" s="1" t="s">
        <v>50</v>
      </c>
      <c r="C130" s="1" t="s">
        <v>71</v>
      </c>
      <c r="D130" s="1" t="s">
        <v>47</v>
      </c>
    </row>
    <row r="131" spans="1:6" ht="15" customHeight="1" x14ac:dyDescent="0.3">
      <c r="A131" s="2" t="s">
        <v>26</v>
      </c>
      <c r="B131" s="2">
        <v>13696</v>
      </c>
      <c r="C131" s="2">
        <v>105.2</v>
      </c>
      <c r="D131" s="3">
        <v>486287.2</v>
      </c>
    </row>
    <row r="132" spans="1:6" ht="15" customHeight="1" x14ac:dyDescent="0.3">
      <c r="A132" s="2" t="s">
        <v>30</v>
      </c>
      <c r="B132" s="2">
        <v>12604</v>
      </c>
      <c r="C132" s="2">
        <v>122.11</v>
      </c>
      <c r="D132" s="3">
        <v>566786.64</v>
      </c>
    </row>
    <row r="133" spans="1:6" ht="15" customHeight="1" x14ac:dyDescent="0.3">
      <c r="A133" s="2" t="s">
        <v>25</v>
      </c>
      <c r="B133" s="2">
        <v>10736</v>
      </c>
      <c r="C133" s="2">
        <v>129.52000000000001</v>
      </c>
      <c r="D133" s="3">
        <v>721928.03</v>
      </c>
    </row>
    <row r="134" spans="1:6" ht="15" customHeight="1" x14ac:dyDescent="0.3">
      <c r="A134" s="2" t="s">
        <v>29</v>
      </c>
      <c r="B134" s="2">
        <v>10156</v>
      </c>
      <c r="C134" s="2">
        <v>162.35</v>
      </c>
      <c r="D134" s="3">
        <v>830678.07</v>
      </c>
    </row>
    <row r="135" spans="1:6" ht="15" customHeight="1" x14ac:dyDescent="0.3">
      <c r="A135" s="2" t="s">
        <v>27</v>
      </c>
      <c r="B135" s="2">
        <v>10092</v>
      </c>
      <c r="C135" s="2">
        <v>117.8</v>
      </c>
      <c r="D135" s="3">
        <v>824967.27</v>
      </c>
    </row>
    <row r="136" spans="1:6" ht="15" customHeight="1" x14ac:dyDescent="0.3">
      <c r="A136" s="2" t="s">
        <v>28</v>
      </c>
      <c r="B136" s="2">
        <v>7844</v>
      </c>
      <c r="C136" s="2">
        <v>98.63</v>
      </c>
      <c r="D136" s="3">
        <v>530707.32999999996</v>
      </c>
    </row>
    <row r="139" spans="1:6" ht="15" customHeight="1" x14ac:dyDescent="0.3">
      <c r="A139" s="30" t="s">
        <v>72</v>
      </c>
      <c r="B139" s="30"/>
      <c r="C139" s="30"/>
      <c r="D139" s="30"/>
      <c r="E139" s="30"/>
      <c r="F139" s="30"/>
    </row>
    <row r="141" spans="1:6" ht="15" customHeight="1" x14ac:dyDescent="0.3">
      <c r="A141" s="1" t="s">
        <v>32</v>
      </c>
      <c r="B141" s="1" t="s">
        <v>53</v>
      </c>
      <c r="C141" s="1" t="s">
        <v>73</v>
      </c>
      <c r="D141" s="1" t="s">
        <v>74</v>
      </c>
    </row>
    <row r="142" spans="1:6" ht="15" customHeight="1" x14ac:dyDescent="0.3">
      <c r="A142" s="2" t="s">
        <v>28</v>
      </c>
      <c r="B142" s="2">
        <v>3.12</v>
      </c>
      <c r="C142" s="2">
        <v>2.91</v>
      </c>
      <c r="D142" s="2">
        <v>1</v>
      </c>
    </row>
    <row r="143" spans="1:6" ht="15" customHeight="1" x14ac:dyDescent="0.3">
      <c r="A143" s="2" t="s">
        <v>29</v>
      </c>
      <c r="B143" s="2">
        <v>3.64</v>
      </c>
      <c r="C143" s="2">
        <v>2.82</v>
      </c>
      <c r="D143" s="2">
        <v>2</v>
      </c>
    </row>
    <row r="144" spans="1:6" ht="15" customHeight="1" x14ac:dyDescent="0.3">
      <c r="A144" s="2" t="s">
        <v>26</v>
      </c>
      <c r="B144" s="2">
        <v>5.13</v>
      </c>
      <c r="C144" s="2">
        <v>2.57</v>
      </c>
      <c r="D144" s="2">
        <v>3</v>
      </c>
    </row>
    <row r="145" spans="1:6" ht="15" customHeight="1" x14ac:dyDescent="0.3">
      <c r="A145" s="2" t="s">
        <v>30</v>
      </c>
      <c r="B145" s="2">
        <v>4.54</v>
      </c>
      <c r="C145" s="2">
        <v>2.3199999999999998</v>
      </c>
      <c r="D145" s="2">
        <v>4</v>
      </c>
    </row>
    <row r="146" spans="1:6" ht="15" customHeight="1" x14ac:dyDescent="0.3">
      <c r="A146" s="2" t="s">
        <v>27</v>
      </c>
      <c r="B146" s="2">
        <v>4.57</v>
      </c>
      <c r="C146" s="2">
        <v>1.84</v>
      </c>
      <c r="D146" s="2">
        <v>5</v>
      </c>
    </row>
    <row r="147" spans="1:6" ht="15" customHeight="1" x14ac:dyDescent="0.3">
      <c r="A147" s="2" t="s">
        <v>25</v>
      </c>
      <c r="B147" s="2">
        <v>5.01</v>
      </c>
      <c r="C147" s="2">
        <v>1.7</v>
      </c>
      <c r="D147" s="2">
        <v>6</v>
      </c>
    </row>
    <row r="150" spans="1:6" ht="15" customHeight="1" x14ac:dyDescent="0.3">
      <c r="A150" s="30" t="s">
        <v>75</v>
      </c>
      <c r="B150" s="30"/>
      <c r="C150" s="30"/>
      <c r="D150" s="30"/>
      <c r="E150" s="30"/>
      <c r="F150" s="30"/>
    </row>
    <row r="151" spans="1:6" ht="15" customHeight="1" x14ac:dyDescent="0.3">
      <c r="A151" s="29"/>
      <c r="B151" s="29"/>
      <c r="C151" s="29"/>
      <c r="D151" s="29"/>
      <c r="E151" s="29"/>
      <c r="F151" s="29"/>
    </row>
    <row r="152" spans="1:6" ht="15" customHeight="1" x14ac:dyDescent="0.3">
      <c r="A152" s="1" t="s">
        <v>76</v>
      </c>
      <c r="B152" s="1" t="s">
        <v>67</v>
      </c>
    </row>
    <row r="153" spans="1:6" ht="15" customHeight="1" x14ac:dyDescent="0.3">
      <c r="A153" s="2" t="s">
        <v>77</v>
      </c>
      <c r="B153" s="2">
        <v>20000</v>
      </c>
    </row>
    <row r="154" spans="1:6" ht="15" customHeight="1" x14ac:dyDescent="0.3">
      <c r="A154" s="2" t="s">
        <v>78</v>
      </c>
      <c r="B154" s="2">
        <v>120</v>
      </c>
    </row>
    <row r="155" spans="1:6" ht="15" customHeight="1" x14ac:dyDescent="0.3">
      <c r="A155" s="2" t="s">
        <v>79</v>
      </c>
      <c r="B155" s="2">
        <v>5000</v>
      </c>
    </row>
    <row r="158" spans="1:6" ht="15" customHeight="1" x14ac:dyDescent="0.3">
      <c r="A158" s="30" t="s">
        <v>80</v>
      </c>
      <c r="B158" s="30"/>
      <c r="C158" s="30"/>
      <c r="D158" s="30"/>
      <c r="E158" s="30"/>
      <c r="F158" s="30"/>
    </row>
    <row r="159" spans="1:6" ht="15" customHeight="1" x14ac:dyDescent="0.3">
      <c r="A159" s="29"/>
      <c r="B159" s="29"/>
      <c r="C159" s="29"/>
      <c r="D159" s="29"/>
      <c r="E159" s="29"/>
      <c r="F159" s="29"/>
    </row>
    <row r="160" spans="1:6" ht="15" customHeight="1" x14ac:dyDescent="0.3">
      <c r="A160" s="1" t="s">
        <v>81</v>
      </c>
      <c r="B160" s="1" t="s">
        <v>82</v>
      </c>
      <c r="C160" s="1" t="s">
        <v>83</v>
      </c>
    </row>
    <row r="161" spans="1:3" ht="15" customHeight="1" x14ac:dyDescent="0.3">
      <c r="A161" s="2">
        <v>0.06</v>
      </c>
      <c r="B161" s="2">
        <v>0</v>
      </c>
      <c r="C161" s="2">
        <v>0.06</v>
      </c>
    </row>
  </sheetData>
  <mergeCells count="18">
    <mergeCell ref="A2:F2"/>
    <mergeCell ref="A12:F12"/>
    <mergeCell ref="A47:F47"/>
    <mergeCell ref="A57:F57"/>
    <mergeCell ref="A68:F68"/>
    <mergeCell ref="A69:F69"/>
    <mergeCell ref="A79:F79"/>
    <mergeCell ref="A89:F89"/>
    <mergeCell ref="A100:F100"/>
    <mergeCell ref="A110:F110"/>
    <mergeCell ref="A151:F151"/>
    <mergeCell ref="A158:F158"/>
    <mergeCell ref="A159:F159"/>
    <mergeCell ref="A119:F119"/>
    <mergeCell ref="A120:F120"/>
    <mergeCell ref="A128:F128"/>
    <mergeCell ref="A139:F139"/>
    <mergeCell ref="A150:F150"/>
  </mergeCells>
  <pageMargins left="0.75" right="0.75" top="1" bottom="1" header="0.511811023622047" footer="0.511811023622047"/>
  <pageSetup paperSize="9" orientation="portrait" horizontalDpi="300" verticalDpi="300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Insights</vt:lpstr>
      <vt:lpstr>calculations</vt:lpstr>
      <vt:lpstr>Dashboard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4</cp:revision>
  <dcterms:created xsi:type="dcterms:W3CDTF">2026-07-31T18:14:23Z</dcterms:created>
  <dcterms:modified xsi:type="dcterms:W3CDTF">2026-08-28T02:51:26Z</dcterms:modified>
  <dc:language>en-US</dc:language>
</cp:coreProperties>
</file>